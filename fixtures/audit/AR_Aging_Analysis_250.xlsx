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Summary" sheetId="2" state="visible" r:id="rId4"/>
    <sheet name="AgingByCustomer" sheetId="3" state="visible" r:id="rId5"/>
    <sheet name="CustomerBehavior" sheetId="4" state="visible" r:id="rId6"/>
    <sheet name="PriorityTop10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<sst xmlns="http://schemas.openxmlformats.org/spreadsheetml/2006/main" count="1140" uniqueCount="363">
  <si>
    <t xml:space="preserve">InvoiceNumber</t>
  </si>
  <si>
    <t xml:space="preserve">Customer</t>
  </si>
  <si>
    <t xml:space="preserve">CustomerEmail</t>
  </si>
  <si>
    <t xml:space="preserve">InvoiceDate</t>
  </si>
  <si>
    <t xml:space="preserve">TermsDays</t>
  </si>
  <si>
    <t xml:space="preserve">DueDate</t>
  </si>
  <si>
    <t xml:space="preserve">Amount</t>
  </si>
  <si>
    <t xml:space="preserve">Status</t>
  </si>
  <si>
    <t xml:space="preserve">PaymentDate</t>
  </si>
  <si>
    <t xml:space="preserve">AmountPaid</t>
  </si>
  <si>
    <t xml:space="preserve">DaysToPay</t>
  </si>
  <si>
    <t xml:space="preserve">DaysLateAtPayment</t>
  </si>
  <si>
    <t xml:space="preserve">DaysPastDueNow</t>
  </si>
  <si>
    <t xml:space="preserve">Bucket</t>
  </si>
  <si>
    <t xml:space="preserve">OpenAmount</t>
  </si>
  <si>
    <t xml:space="preserve">OpenValueXAge</t>
  </si>
  <si>
    <t xml:space="preserve">INV-5001</t>
  </si>
  <si>
    <t xml:space="preserve">Vantage Media Group</t>
  </si>
  <si>
    <t xml:space="preserve">ap@vantagemedia.group</t>
  </si>
  <si>
    <t xml:space="preserve">Paid</t>
  </si>
  <si>
    <t xml:space="preserve">INV-5002</t>
  </si>
  <si>
    <t xml:space="preserve">Seoul Pharma Trading</t>
  </si>
  <si>
    <t xml:space="preserve">finance@seoulpharma.co</t>
  </si>
  <si>
    <t xml:space="preserve">INV-5003</t>
  </si>
  <si>
    <t xml:space="preserve">Northgate Property Mgmt</t>
  </si>
  <si>
    <t xml:space="preserve">vendors@northgatepm.com</t>
  </si>
  <si>
    <t xml:space="preserve">INV-5004</t>
  </si>
  <si>
    <t xml:space="preserve">Granite Civil Group</t>
  </si>
  <si>
    <t xml:space="preserve">ap@granitecivil.com</t>
  </si>
  <si>
    <t xml:space="preserve">INV-5005</t>
  </si>
  <si>
    <t xml:space="preserve">BlueRidge Hotels</t>
  </si>
  <si>
    <t xml:space="preserve">karen.wu@blueridgehotels.com</t>
  </si>
  <si>
    <t xml:space="preserve">INV-5006</t>
  </si>
  <si>
    <t xml:space="preserve">Stellar Staffing Co</t>
  </si>
  <si>
    <t xml:space="preserve">finance@stellarstaffing.co</t>
  </si>
  <si>
    <t xml:space="preserve">INV-5007</t>
  </si>
  <si>
    <t xml:space="preserve">INV-5008</t>
  </si>
  <si>
    <t xml:space="preserve">Bluefin Seafood Dist</t>
  </si>
  <si>
    <t xml:space="preserve">payables@bluefindist.com</t>
  </si>
  <si>
    <t xml:space="preserve">INV-5009</t>
  </si>
  <si>
    <t xml:space="preserve">Ridgeline Builders</t>
  </si>
  <si>
    <t xml:space="preserve">ap@ridgelinebuilders.com</t>
  </si>
  <si>
    <t xml:space="preserve">INV-5010</t>
  </si>
  <si>
    <t xml:space="preserve">Foundry Dev Collective</t>
  </si>
  <si>
    <t xml:space="preserve">ops@foundrydev.co</t>
  </si>
  <si>
    <t xml:space="preserve">Paid-Partial-then-Settled</t>
  </si>
  <si>
    <t xml:space="preserve">INV-5011</t>
  </si>
  <si>
    <t xml:space="preserve">Harborline Interiors</t>
  </si>
  <si>
    <t xml:space="preserve">kim@harborlineinteriors.com</t>
  </si>
  <si>
    <t xml:space="preserve">INV-5012</t>
  </si>
  <si>
    <t xml:space="preserve">INV-5013</t>
  </si>
  <si>
    <t xml:space="preserve">INV-5014</t>
  </si>
  <si>
    <t xml:space="preserve">Quarry &amp; Co Wholesale</t>
  </si>
  <si>
    <t xml:space="preserve">ap@quarryco.com</t>
  </si>
  <si>
    <t xml:space="preserve">INV-5015</t>
  </si>
  <si>
    <t xml:space="preserve">Meridian Health Partners</t>
  </si>
  <si>
    <t xml:space="preserve">billing@meridianhp.com</t>
  </si>
  <si>
    <t xml:space="preserve">INV-5016</t>
  </si>
  <si>
    <t xml:space="preserve">INV-5017</t>
  </si>
  <si>
    <t xml:space="preserve">INV-5018</t>
  </si>
  <si>
    <t xml:space="preserve">Pinewood Consulting</t>
  </si>
  <si>
    <t xml:space="preserve">amara@pinewoodconsulting.com</t>
  </si>
  <si>
    <t xml:space="preserve">INV-5019</t>
  </si>
  <si>
    <t xml:space="preserve">TrueNorth MSP</t>
  </si>
  <si>
    <t xml:space="preserve">billing@truenorthmsp.com</t>
  </si>
  <si>
    <t xml:space="preserve">INV-5020</t>
  </si>
  <si>
    <t xml:space="preserve">INV-5021</t>
  </si>
  <si>
    <t xml:space="preserve">Orchid Labs</t>
  </si>
  <si>
    <t xml:space="preserve">finance@orchidlabs.io</t>
  </si>
  <si>
    <t xml:space="preserve">INV-5022</t>
  </si>
  <si>
    <t xml:space="preserve">INV-5023</t>
  </si>
  <si>
    <t xml:space="preserve">INV-5024</t>
  </si>
  <si>
    <t xml:space="preserve">INV-5025</t>
  </si>
  <si>
    <t xml:space="preserve">INV-5026</t>
  </si>
  <si>
    <t xml:space="preserve">INV-5027</t>
  </si>
  <si>
    <t xml:space="preserve">INV-5028</t>
  </si>
  <si>
    <t xml:space="preserve">INV-5029</t>
  </si>
  <si>
    <t xml:space="preserve">Cascade Logistics</t>
  </si>
  <si>
    <t xml:space="preserve">payables@cascadelogistics.com</t>
  </si>
  <si>
    <t xml:space="preserve">INV-5030</t>
  </si>
  <si>
    <t xml:space="preserve">INV-5031</t>
  </si>
  <si>
    <t xml:space="preserve">INV-5032</t>
  </si>
  <si>
    <t xml:space="preserve">INV-5033</t>
  </si>
  <si>
    <t xml:space="preserve">INV-5034</t>
  </si>
  <si>
    <t xml:space="preserve">Lakeshore Events</t>
  </si>
  <si>
    <t xml:space="preserve">accounts@lakeshoreevents.com</t>
  </si>
  <si>
    <t xml:space="preserve">INV-5035</t>
  </si>
  <si>
    <t xml:space="preserve">INV-5036</t>
  </si>
  <si>
    <t xml:space="preserve">Apex Mechanical</t>
  </si>
  <si>
    <t xml:space="preserve">accounts@apexmech.com</t>
  </si>
  <si>
    <t xml:space="preserve">INV-5037</t>
  </si>
  <si>
    <t xml:space="preserve">INV-5038</t>
  </si>
  <si>
    <t xml:space="preserve">INV-5039</t>
  </si>
  <si>
    <t xml:space="preserve">INV-5040</t>
  </si>
  <si>
    <t xml:space="preserve">INV-5041</t>
  </si>
  <si>
    <t xml:space="preserve">INV-5042</t>
  </si>
  <si>
    <t xml:space="preserve">INV-5043</t>
  </si>
  <si>
    <t xml:space="preserve">INV-5044</t>
  </si>
  <si>
    <t xml:space="preserve">INV-5045</t>
  </si>
  <si>
    <t xml:space="preserve">INV-5046</t>
  </si>
  <si>
    <t xml:space="preserve">INV-5047</t>
  </si>
  <si>
    <t xml:space="preserve">INV-5048</t>
  </si>
  <si>
    <t xml:space="preserve">INV-5049</t>
  </si>
  <si>
    <t xml:space="preserve">INV-5050</t>
  </si>
  <si>
    <t xml:space="preserve">INV-5051</t>
  </si>
  <si>
    <t xml:space="preserve">INV-5052</t>
  </si>
  <si>
    <t xml:space="preserve">INV-5053</t>
  </si>
  <si>
    <t xml:space="preserve">INV-5054</t>
  </si>
  <si>
    <t xml:space="preserve">INV-5055</t>
  </si>
  <si>
    <t xml:space="preserve">INV-5056</t>
  </si>
  <si>
    <t xml:space="preserve">INV-5057</t>
  </si>
  <si>
    <t xml:space="preserve">INV-5058</t>
  </si>
  <si>
    <t xml:space="preserve">INV-5059</t>
  </si>
  <si>
    <t xml:space="preserve">INV-5060</t>
  </si>
  <si>
    <t xml:space="preserve">INV-5061</t>
  </si>
  <si>
    <t xml:space="preserve">INV-5062</t>
  </si>
  <si>
    <t xml:space="preserve">INV-5063</t>
  </si>
  <si>
    <t xml:space="preserve">INV-5064</t>
  </si>
  <si>
    <t xml:space="preserve">INV-5065</t>
  </si>
  <si>
    <t xml:space="preserve">INV-5066</t>
  </si>
  <si>
    <t xml:space="preserve">INV-5067</t>
  </si>
  <si>
    <t xml:space="preserve">INV-5068</t>
  </si>
  <si>
    <t xml:space="preserve">INV-5069</t>
  </si>
  <si>
    <t xml:space="preserve">INV-5070</t>
  </si>
  <si>
    <t xml:space="preserve">INV-5071</t>
  </si>
  <si>
    <t xml:space="preserve">INV-5072</t>
  </si>
  <si>
    <t xml:space="preserve">INV-5073</t>
  </si>
  <si>
    <t xml:space="preserve">INV-5074</t>
  </si>
  <si>
    <t xml:space="preserve">INV-5075</t>
  </si>
  <si>
    <t xml:space="preserve">INV-5076</t>
  </si>
  <si>
    <t xml:space="preserve">INV-5077</t>
  </si>
  <si>
    <t xml:space="preserve">INV-5078</t>
  </si>
  <si>
    <t xml:space="preserve">INV-5079</t>
  </si>
  <si>
    <t xml:space="preserve">INV-5080</t>
  </si>
  <si>
    <t xml:space="preserve">INV-5081</t>
  </si>
  <si>
    <t xml:space="preserve">INV-5082</t>
  </si>
  <si>
    <t xml:space="preserve">INV-5083</t>
  </si>
  <si>
    <t xml:space="preserve">INV-5084</t>
  </si>
  <si>
    <t xml:space="preserve">INV-5085</t>
  </si>
  <si>
    <t xml:space="preserve">INV-5086</t>
  </si>
  <si>
    <t xml:space="preserve">INV-5087</t>
  </si>
  <si>
    <t xml:space="preserve">INV-5088</t>
  </si>
  <si>
    <t xml:space="preserve">INV-5089</t>
  </si>
  <si>
    <t xml:space="preserve">INV-5090</t>
  </si>
  <si>
    <t xml:space="preserve">INV-5091</t>
  </si>
  <si>
    <t xml:space="preserve">INV-5092</t>
  </si>
  <si>
    <t xml:space="preserve">INV-5093</t>
  </si>
  <si>
    <t xml:space="preserve">INV-5094</t>
  </si>
  <si>
    <t xml:space="preserve">INV-5095</t>
  </si>
  <si>
    <t xml:space="preserve">INV-5096</t>
  </si>
  <si>
    <t xml:space="preserve">INV-5097</t>
  </si>
  <si>
    <t xml:space="preserve">INV-5098</t>
  </si>
  <si>
    <t xml:space="preserve">INV-5099</t>
  </si>
  <si>
    <t xml:space="preserve">INV-5100</t>
  </si>
  <si>
    <t xml:space="preserve">INV-5101</t>
  </si>
  <si>
    <t xml:space="preserve">INV-5102</t>
  </si>
  <si>
    <t xml:space="preserve">INV-5103</t>
  </si>
  <si>
    <t xml:space="preserve">INV-5104</t>
  </si>
  <si>
    <t xml:space="preserve">INV-5105</t>
  </si>
  <si>
    <t xml:space="preserve">INV-5106</t>
  </si>
  <si>
    <t xml:space="preserve">INV-5107</t>
  </si>
  <si>
    <t xml:space="preserve">INV-5108</t>
  </si>
  <si>
    <t xml:space="preserve">INV-5109</t>
  </si>
  <si>
    <t xml:space="preserve">INV-5110</t>
  </si>
  <si>
    <t xml:space="preserve">INV-5111</t>
  </si>
  <si>
    <t xml:space="preserve">INV-5112</t>
  </si>
  <si>
    <t xml:space="preserve">INV-5113</t>
  </si>
  <si>
    <t xml:space="preserve">INV-5114</t>
  </si>
  <si>
    <t xml:space="preserve">INV-5115</t>
  </si>
  <si>
    <t xml:space="preserve">INV-5116</t>
  </si>
  <si>
    <t xml:space="preserve">INV-5117</t>
  </si>
  <si>
    <t xml:space="preserve">INV-5118</t>
  </si>
  <si>
    <t xml:space="preserve">INV-5119</t>
  </si>
  <si>
    <t xml:space="preserve">INV-5120</t>
  </si>
  <si>
    <t xml:space="preserve">INV-5121</t>
  </si>
  <si>
    <t xml:space="preserve">INV-5122</t>
  </si>
  <si>
    <t xml:space="preserve">INV-5123</t>
  </si>
  <si>
    <t xml:space="preserve">INV-5124</t>
  </si>
  <si>
    <t xml:space="preserve">INV-5125</t>
  </si>
  <si>
    <t xml:space="preserve">INV-5126</t>
  </si>
  <si>
    <t xml:space="preserve">INV-5127</t>
  </si>
  <si>
    <t xml:space="preserve">INV-5128</t>
  </si>
  <si>
    <t xml:space="preserve">INV-5129</t>
  </si>
  <si>
    <t xml:space="preserve">INV-5130</t>
  </si>
  <si>
    <t xml:space="preserve">INV-5131</t>
  </si>
  <si>
    <t xml:space="preserve">INV-5132</t>
  </si>
  <si>
    <t xml:space="preserve">INV-5133</t>
  </si>
  <si>
    <t xml:space="preserve">INV-5134</t>
  </si>
  <si>
    <t xml:space="preserve">INV-5135</t>
  </si>
  <si>
    <t xml:space="preserve">INV-5136</t>
  </si>
  <si>
    <t xml:space="preserve">INV-5137</t>
  </si>
  <si>
    <t xml:space="preserve">INV-5138</t>
  </si>
  <si>
    <t xml:space="preserve">INV-5139</t>
  </si>
  <si>
    <t xml:space="preserve">INV-5140</t>
  </si>
  <si>
    <t xml:space="preserve">INV-5141</t>
  </si>
  <si>
    <t xml:space="preserve">INV-5142</t>
  </si>
  <si>
    <t xml:space="preserve">INV-5143</t>
  </si>
  <si>
    <t xml:space="preserve">INV-5144</t>
  </si>
  <si>
    <t xml:space="preserve">INV-5145</t>
  </si>
  <si>
    <t xml:space="preserve">INV-5146</t>
  </si>
  <si>
    <t xml:space="preserve">INV-5147</t>
  </si>
  <si>
    <t xml:space="preserve">INV-5148</t>
  </si>
  <si>
    <t xml:space="preserve">INV-5149</t>
  </si>
  <si>
    <t xml:space="preserve">INV-5150</t>
  </si>
  <si>
    <t xml:space="preserve">INV-5151</t>
  </si>
  <si>
    <t xml:space="preserve">INV-5152</t>
  </si>
  <si>
    <t xml:space="preserve">INV-5153</t>
  </si>
  <si>
    <t xml:space="preserve">INV-5154</t>
  </si>
  <si>
    <t xml:space="preserve">INV-5155</t>
  </si>
  <si>
    <t xml:space="preserve">INV-5156</t>
  </si>
  <si>
    <t xml:space="preserve">INV-5157</t>
  </si>
  <si>
    <t xml:space="preserve">INV-5158</t>
  </si>
  <si>
    <t xml:space="preserve">INV-5159</t>
  </si>
  <si>
    <t xml:space="preserve">INV-5160</t>
  </si>
  <si>
    <t xml:space="preserve">INV-5161</t>
  </si>
  <si>
    <t xml:space="preserve">INV-5162</t>
  </si>
  <si>
    <t xml:space="preserve">INV-5163</t>
  </si>
  <si>
    <t xml:space="preserve">INV-5164</t>
  </si>
  <si>
    <t xml:space="preserve">INV-5165</t>
  </si>
  <si>
    <t xml:space="preserve">INV-5166</t>
  </si>
  <si>
    <t xml:space="preserve">INV-5167</t>
  </si>
  <si>
    <t xml:space="preserve">Outstanding</t>
  </si>
  <si>
    <t xml:space="preserve">INV-5168</t>
  </si>
  <si>
    <t xml:space="preserve">INV-5169</t>
  </si>
  <si>
    <t xml:space="preserve">INV-5170</t>
  </si>
  <si>
    <t xml:space="preserve">INV-5171</t>
  </si>
  <si>
    <t xml:space="preserve">INV-5172</t>
  </si>
  <si>
    <t xml:space="preserve">INV-5173</t>
  </si>
  <si>
    <t xml:space="preserve">INV-5174</t>
  </si>
  <si>
    <t xml:space="preserve">INV-5175</t>
  </si>
  <si>
    <t xml:space="preserve">INV-5176</t>
  </si>
  <si>
    <t xml:space="preserve">INV-5177</t>
  </si>
  <si>
    <t xml:space="preserve">INV-5178</t>
  </si>
  <si>
    <t xml:space="preserve">INV-5179</t>
  </si>
  <si>
    <t xml:space="preserve">INV-5180</t>
  </si>
  <si>
    <t xml:space="preserve">INV-5181</t>
  </si>
  <si>
    <t xml:space="preserve">INV-5182</t>
  </si>
  <si>
    <t xml:space="preserve">INV-5183</t>
  </si>
  <si>
    <t xml:space="preserve">INV-5184</t>
  </si>
  <si>
    <t xml:space="preserve">INV-5185</t>
  </si>
  <si>
    <t xml:space="preserve">INV-5186</t>
  </si>
  <si>
    <t xml:space="preserve">INV-5187</t>
  </si>
  <si>
    <t xml:space="preserve">INV-5188</t>
  </si>
  <si>
    <t xml:space="preserve">INV-5189</t>
  </si>
  <si>
    <t xml:space="preserve">INV-5190</t>
  </si>
  <si>
    <t xml:space="preserve">INV-5191</t>
  </si>
  <si>
    <t xml:space="preserve">INV-5192</t>
  </si>
  <si>
    <t xml:space="preserve">INV-5193</t>
  </si>
  <si>
    <t xml:space="preserve">INV-5194</t>
  </si>
  <si>
    <t xml:space="preserve">INV-5195</t>
  </si>
  <si>
    <t xml:space="preserve">INV-5196</t>
  </si>
  <si>
    <t xml:space="preserve">INV-5197</t>
  </si>
  <si>
    <t xml:space="preserve">INV-5198</t>
  </si>
  <si>
    <t xml:space="preserve">INV-5199</t>
  </si>
  <si>
    <t xml:space="preserve">INV-5200</t>
  </si>
  <si>
    <t xml:space="preserve">INV-5201</t>
  </si>
  <si>
    <t xml:space="preserve">INV-5202</t>
  </si>
  <si>
    <t xml:space="preserve">INV-5203</t>
  </si>
  <si>
    <t xml:space="preserve">INV-5204</t>
  </si>
  <si>
    <t xml:space="preserve">INV-5205</t>
  </si>
  <si>
    <t xml:space="preserve">INV-5206</t>
  </si>
  <si>
    <t xml:space="preserve">INV-5207</t>
  </si>
  <si>
    <t xml:space="preserve">INV-5208</t>
  </si>
  <si>
    <t xml:space="preserve">INV-5209</t>
  </si>
  <si>
    <t xml:space="preserve">INV-5210</t>
  </si>
  <si>
    <t xml:space="preserve">INV-5211</t>
  </si>
  <si>
    <t xml:space="preserve">INV-5212</t>
  </si>
  <si>
    <t xml:space="preserve">INV-5213</t>
  </si>
  <si>
    <t xml:space="preserve">INV-5214</t>
  </si>
  <si>
    <t xml:space="preserve">INV-5215</t>
  </si>
  <si>
    <t xml:space="preserve">INV-5216</t>
  </si>
  <si>
    <t xml:space="preserve">INV-5217</t>
  </si>
  <si>
    <t xml:space="preserve">INV-5218</t>
  </si>
  <si>
    <t xml:space="preserve">INV-5219</t>
  </si>
  <si>
    <t xml:space="preserve">INV-5220</t>
  </si>
  <si>
    <t xml:space="preserve">INV-5221</t>
  </si>
  <si>
    <t xml:space="preserve">INV-5222</t>
  </si>
  <si>
    <t xml:space="preserve">INV-5223</t>
  </si>
  <si>
    <t xml:space="preserve">INV-5224</t>
  </si>
  <si>
    <t xml:space="preserve">INV-5225</t>
  </si>
  <si>
    <t xml:space="preserve">INV-5226</t>
  </si>
  <si>
    <t xml:space="preserve">INV-5227</t>
  </si>
  <si>
    <t xml:space="preserve">INV-5228</t>
  </si>
  <si>
    <t xml:space="preserve">INV-5229</t>
  </si>
  <si>
    <t xml:space="preserve">INV-5230</t>
  </si>
  <si>
    <t xml:space="preserve">INV-5231</t>
  </si>
  <si>
    <t xml:space="preserve">INV-5232</t>
  </si>
  <si>
    <t xml:space="preserve">INV-5233</t>
  </si>
  <si>
    <t xml:space="preserve">INV-5234</t>
  </si>
  <si>
    <t xml:space="preserve">INV-5235</t>
  </si>
  <si>
    <t xml:space="preserve">INV-5236</t>
  </si>
  <si>
    <t xml:space="preserve">INV-5237</t>
  </si>
  <si>
    <t xml:space="preserve">INV-5238</t>
  </si>
  <si>
    <t xml:space="preserve">INV-5239</t>
  </si>
  <si>
    <t xml:space="preserve">INV-5240</t>
  </si>
  <si>
    <t xml:space="preserve">INV-5241</t>
  </si>
  <si>
    <t xml:space="preserve">INV-5242</t>
  </si>
  <si>
    <t xml:space="preserve">INV-5243</t>
  </si>
  <si>
    <t xml:space="preserve">INV-5244</t>
  </si>
  <si>
    <t xml:space="preserve">INV-5245</t>
  </si>
  <si>
    <t xml:space="preserve">INV-5246</t>
  </si>
  <si>
    <t xml:space="preserve">INV-5247</t>
  </si>
  <si>
    <t xml:space="preserve">INV-5248</t>
  </si>
  <si>
    <t xml:space="preserve">INV-5249</t>
  </si>
  <si>
    <t xml:space="preserve">INV-5250</t>
  </si>
  <si>
    <t xml:space="preserve">AR Aging &amp; Payment Behavior Analysis</t>
  </si>
  <si>
    <t xml:space="preserve">Demo dataset: 250 historical invoices, Jan 2025 - Jul 2026. All names and figures are fictional.</t>
  </si>
  <si>
    <t xml:space="preserve">Analysis date:</t>
  </si>
  <si>
    <t xml:space="preserve">(blue on yellow = editable input; everything else is formula-driven)</t>
  </si>
  <si>
    <t xml:space="preserve">Headline numbers</t>
  </si>
  <si>
    <t xml:space="preserve">Invoices in dump</t>
  </si>
  <si>
    <t xml:space="preserve">Invoices paid</t>
  </si>
  <si>
    <t xml:space="preserve">Invoices outstanding</t>
  </si>
  <si>
    <t xml:space="preserve">Total billed (18 months)</t>
  </si>
  <si>
    <t xml:space="preserve">Average monthly billing</t>
  </si>
  <si>
    <t xml:space="preserve">Open AR today</t>
  </si>
  <si>
    <t xml:space="preserve">Value-weighted avg days to pay (paid invoices)</t>
  </si>
  <si>
    <t xml:space="preserve">Value-weighted avg credit terms</t>
  </si>
  <si>
    <t xml:space="preserve">Extra credit days granted beyond terms</t>
  </si>
  <si>
    <t xml:space="preserve">Cash locked by slow collection (approx.)</t>
  </si>
  <si>
    <t xml:space="preserve">The sentence that matters (auto-built):</t>
  </si>
  <si>
    <t xml:space="preserve">Aging of open AR</t>
  </si>
  <si>
    <t xml:space="preserve">Current</t>
  </si>
  <si>
    <t xml:space="preserve">1-30</t>
  </si>
  <si>
    <t xml:space="preserve">31-60</t>
  </si>
  <si>
    <t xml:space="preserve">61-90</t>
  </si>
  <si>
    <t xml:space="preserve">90+</t>
  </si>
  <si>
    <t xml:space="preserve">Open #</t>
  </si>
  <si>
    <t xml:space="preserve">Total open</t>
  </si>
  <si>
    <t xml:space="preserve">Value-weighted age (days)</t>
  </si>
  <si>
    <t xml:space="preserve">TOTAL</t>
  </si>
  <si>
    <t xml:space="preserve">Invoices (18 mo)</t>
  </si>
  <si>
    <t xml:space="preserve">Lifetime billed</t>
  </si>
  <si>
    <t xml:space="preserve">Avg days to pay</t>
  </si>
  <si>
    <t xml:space="preserve">Terms (days)</t>
  </si>
  <si>
    <t xml:space="preserve">Avg days late</t>
  </si>
  <si>
    <t xml:space="preserve">Late trend (2nd half vs 1st, days)</t>
  </si>
  <si>
    <t xml:space="preserve">Behavior read</t>
  </si>
  <si>
    <t xml:space="preserve">Problem payer, account-level intervention required</t>
  </si>
  <si>
    <t xml:space="preserve">Chronically slow, needs firm consistent follow-up</t>
  </si>
  <si>
    <t xml:space="preserve">Mildly slow, standard cadence works</t>
  </si>
  <si>
    <t xml:space="preserve">Mildly slow, standard cadence works | DETERIORATING, investigate now</t>
  </si>
  <si>
    <t xml:space="preserve">Problem payer, account-level intervention required | DETERIORATING, investigate now</t>
  </si>
  <si>
    <t xml:space="preserve">Reliable payer, protect the relationship</t>
  </si>
  <si>
    <t xml:space="preserve">Note: 'Late trend' is computed in the source dump (average lateness of the customer's second half of paid invoices minus the first half). Positive = getting slower. Hardcoded blue by design; recompute from Data when refreshed.</t>
  </si>
  <si>
    <t xml:space="preserve">Where the energy goes: top 10 by cash impact, not by metric</t>
  </si>
  <si>
    <t xml:space="preserve">Impact = open value x value-weighted age. A $100 invoice 100 days old never outranks a $30K invoice 45 days old.</t>
  </si>
  <si>
    <t xml:space="preserve">Rank</t>
  </si>
  <si>
    <t xml:space="preserve">Open value</t>
  </si>
  <si>
    <t xml:space="preserve">Value-weighted age</t>
  </si>
  <si>
    <t xml:space="preserve">Impact score</t>
  </si>
  <si>
    <t xml:space="preserve">Avg late (hist.)</t>
  </si>
  <si>
    <t xml:space="preserve">Recommended first move</t>
  </si>
  <si>
    <t xml:space="preserve">Account-level call today; consolidate all open invoices into one written plan (history: honors plans).</t>
  </si>
  <si>
    <t xml:space="preserve">Confirm retainage/release milestones in writing; escalate the 90+ item with a dated final notice.</t>
  </si>
  <si>
    <t xml:space="preserve">Broken-promise pattern: quote their last commitment back, require a dated schedule.</t>
  </si>
  <si>
    <t xml:space="preserve">Chronic 55+ days: move to prepay or tightened terms at renewal; firm ladder on all open items now.</t>
  </si>
  <si>
    <t xml:space="preserve">Verify acceptance sign-off on milestones; isolate any disputed line and collect the clean balance.</t>
  </si>
  <si>
    <t xml:space="preserve">Fixed-cycle payer: align invoice submission to their run cutoff; chase the cycle, not the person.</t>
  </si>
  <si>
    <t xml:space="preserve">Trend +11 days and worsening: relationship call this week to find the cause before it compounds.</t>
  </si>
  <si>
    <t xml:space="preserve">Single large invoice: direct AP status call; likely approval-cycle issue, not refusal.</t>
  </si>
  <si>
    <t xml:space="preserve">Reliable: gentle nudge only; protect the relationship.</t>
  </si>
  <si>
    <t xml:space="preserve">Standard ladder; consider order-hold trade if a new PO arrives before payment.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</si>
</sst>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\$#,##0"/>
    <numFmt numFmtId="167" formatCode="#,##0"/>
    <numFmt numFmtId="168" formatCode="General"/>
    <numFmt numFmtId="169" formatCode="0.0"/>
    <numFmt numFmtId="170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5"/>
      <color rgb="FF1B2A4A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11"/>
      <color rgb="FF2A9D8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2"/>
      <color rgb="FF1B2A4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2CC"/>
        <bgColor rgb="FFF0F7F6"/>
      </patternFill>
    </fill>
    <fill>
      <patternFill patternType="solid">
        <fgColor rgb="FFF0F7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F0F7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2A9D8F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7" min="6" style="0" width="11"/>
    <col collapsed="false" customWidth="true" hidden="false" outlineLevel="0" max="9" min="8" style="0" width="12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3" min="12" style="0" width="12"/>
    <col collapsed="false" customWidth="true" hidden="false" outlineLevel="0" max="14" min="14" style="0" width="9"/>
    <col collapsed="false" customWidth="true" hidden="false" outlineLevel="0" max="15" min="15" style="0" width="12"/>
    <col collapsed="false" customWidth="true" hidden="false" outlineLevel="0" max="16" min="16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18</v>
      </c>
      <c r="D2" s="3" t="n">
        <v>45680</v>
      </c>
      <c r="E2" s="2" t="n">
        <v>30</v>
      </c>
      <c r="F2" s="3" t="n">
        <v>45710</v>
      </c>
      <c r="G2" s="4" t="n">
        <v>5050</v>
      </c>
      <c r="H2" s="2" t="s">
        <v>19</v>
      </c>
      <c r="I2" s="3" t="n">
        <v>45750</v>
      </c>
      <c r="J2" s="4" t="n">
        <v>5050</v>
      </c>
      <c r="K2" s="2" t="n">
        <v>70</v>
      </c>
      <c r="L2" s="2" t="n">
        <v>40</v>
      </c>
      <c r="M2" s="2" t="str">
        <f aca="false">IF($H2="Outstanding",MAX(0,Summary!$B$3-$F2),"")</f>
        <v/>
      </c>
      <c r="N2" s="2" t="str">
        <f aca="false">IF($M2="","",IF($M2=0,"Current",IF($M2&lt;=30,"1-30",IF($M2&lt;=60,"31-60",IF($M2&lt;=90,"61-90","90+")))))</f>
        <v/>
      </c>
      <c r="O2" s="4" t="n">
        <f aca="false">IF($H2="Outstanding",$G2,0)</f>
        <v>0</v>
      </c>
      <c r="P2" s="5" t="n">
        <f aca="false">$O2*IF($M2="",0,$M2)</f>
        <v>0</v>
      </c>
    </row>
    <row r="3" customFormat="false" ht="15" hidden="false" customHeight="false" outlineLevel="0" collapsed="false">
      <c r="A3" s="2" t="s">
        <v>20</v>
      </c>
      <c r="B3" s="2" t="s">
        <v>21</v>
      </c>
      <c r="C3" s="2" t="s">
        <v>22</v>
      </c>
      <c r="D3" s="3" t="n">
        <v>45660</v>
      </c>
      <c r="E3" s="2" t="n">
        <v>30</v>
      </c>
      <c r="F3" s="3" t="n">
        <v>45690</v>
      </c>
      <c r="G3" s="4" t="n">
        <v>8350</v>
      </c>
      <c r="H3" s="2" t="s">
        <v>19</v>
      </c>
      <c r="I3" s="3" t="n">
        <v>45716</v>
      </c>
      <c r="J3" s="4" t="n">
        <v>8350</v>
      </c>
      <c r="K3" s="2" t="n">
        <v>56</v>
      </c>
      <c r="L3" s="2" t="n">
        <v>26</v>
      </c>
      <c r="M3" s="2" t="str">
        <f aca="false">IF($H3="Outstanding",MAX(0,Summary!$B$3-$F3),"")</f>
        <v/>
      </c>
      <c r="N3" s="2" t="str">
        <f aca="false">IF($M3="","",IF($M3=0,"Current",IF($M3&lt;=30,"1-30",IF($M3&lt;=60,"31-60",IF($M3&lt;=90,"61-90","90+")))))</f>
        <v/>
      </c>
      <c r="O3" s="4" t="n">
        <f aca="false">IF($H3="Outstanding",$G3,0)</f>
        <v>0</v>
      </c>
      <c r="P3" s="5" t="n">
        <f aca="false">$O3*IF($M3="",0,$M3)</f>
        <v>0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3" t="n">
        <v>45663</v>
      </c>
      <c r="E4" s="2" t="n">
        <v>30</v>
      </c>
      <c r="F4" s="3" t="n">
        <v>45693</v>
      </c>
      <c r="G4" s="4" t="n">
        <v>4100</v>
      </c>
      <c r="H4" s="2" t="s">
        <v>19</v>
      </c>
      <c r="I4" s="3" t="n">
        <v>45747</v>
      </c>
      <c r="J4" s="4" t="n">
        <v>4100</v>
      </c>
      <c r="K4" s="2" t="n">
        <v>84</v>
      </c>
      <c r="L4" s="2" t="n">
        <v>52</v>
      </c>
      <c r="M4" s="2" t="str">
        <f aca="false">IF($H4="Outstanding",MAX(0,Summary!$B$3-$F4),"")</f>
        <v/>
      </c>
      <c r="N4" s="2" t="str">
        <f aca="false">IF($M4="","",IF($M4=0,"Current",IF($M4&lt;=30,"1-30",IF($M4&lt;=60,"31-60",IF($M4&lt;=90,"61-90","90+")))))</f>
        <v/>
      </c>
      <c r="O4" s="4" t="n">
        <f aca="false">IF($H4="Outstanding",$G4,0)</f>
        <v>0</v>
      </c>
      <c r="P4" s="5" t="n">
        <f aca="false">$O4*IF($M4="",0,$M4)</f>
        <v>0</v>
      </c>
    </row>
    <row r="5" customFormat="false" ht="15" hidden="false" customHeight="false" outlineLevel="0" collapsed="false">
      <c r="A5" s="2" t="s">
        <v>26</v>
      </c>
      <c r="B5" s="2" t="s">
        <v>27</v>
      </c>
      <c r="C5" s="2" t="s">
        <v>28</v>
      </c>
      <c r="D5" s="3" t="n">
        <v>45673</v>
      </c>
      <c r="E5" s="2" t="n">
        <v>45</v>
      </c>
      <c r="F5" s="3" t="n">
        <v>45718</v>
      </c>
      <c r="G5" s="4" t="n">
        <v>34250</v>
      </c>
      <c r="H5" s="2" t="s">
        <v>19</v>
      </c>
      <c r="I5" s="3" t="n">
        <v>45755</v>
      </c>
      <c r="J5" s="4" t="n">
        <v>34250</v>
      </c>
      <c r="K5" s="2" t="n">
        <v>82</v>
      </c>
      <c r="L5" s="2" t="n">
        <v>37</v>
      </c>
      <c r="M5" s="2" t="str">
        <f aca="false">IF($H5="Outstanding",MAX(0,Summary!$B$3-$F5),"")</f>
        <v/>
      </c>
      <c r="N5" s="2" t="str">
        <f aca="false">IF($M5="","",IF($M5=0,"Current",IF($M5&lt;=30,"1-30",IF($M5&lt;=60,"31-60",IF($M5&lt;=90,"61-90","90+")))))</f>
        <v/>
      </c>
      <c r="O5" s="4" t="n">
        <f aca="false">IF($H5="Outstanding",$G5,0)</f>
        <v>0</v>
      </c>
      <c r="P5" s="5" t="n">
        <f aca="false">$O5*IF($M5="",0,$M5)</f>
        <v>0</v>
      </c>
    </row>
    <row r="6" customFormat="false" ht="15" hidden="false" customHeight="false" outlineLevel="0" collapsed="false">
      <c r="A6" s="2" t="s">
        <v>29</v>
      </c>
      <c r="B6" s="2" t="s">
        <v>30</v>
      </c>
      <c r="C6" s="2" t="s">
        <v>31</v>
      </c>
      <c r="D6" s="3" t="n">
        <v>45667</v>
      </c>
      <c r="E6" s="2" t="n">
        <v>30</v>
      </c>
      <c r="F6" s="3" t="n">
        <v>45697</v>
      </c>
      <c r="G6" s="4" t="n">
        <v>14200</v>
      </c>
      <c r="H6" s="2" t="s">
        <v>19</v>
      </c>
      <c r="I6" s="3" t="n">
        <v>45709</v>
      </c>
      <c r="J6" s="4" t="n">
        <v>14200</v>
      </c>
      <c r="K6" s="2" t="n">
        <v>42</v>
      </c>
      <c r="L6" s="2" t="n">
        <v>12</v>
      </c>
      <c r="M6" s="2" t="str">
        <f aca="false">IF($H6="Outstanding",MAX(0,Summary!$B$3-$F6),"")</f>
        <v/>
      </c>
      <c r="N6" s="2" t="str">
        <f aca="false">IF($M6="","",IF($M6=0,"Current",IF($M6&lt;=30,"1-30",IF($M6&lt;=60,"31-60",IF($M6&lt;=90,"61-90","90+")))))</f>
        <v/>
      </c>
      <c r="O6" s="4" t="n">
        <f aca="false">IF($H6="Outstanding",$G6,0)</f>
        <v>0</v>
      </c>
      <c r="P6" s="5" t="n">
        <f aca="false">$O6*IF($M6="",0,$M6)</f>
        <v>0</v>
      </c>
    </row>
    <row r="7" customFormat="false" ht="15" hidden="false" customHeight="false" outlineLevel="0" collapsed="false">
      <c r="A7" s="2" t="s">
        <v>32</v>
      </c>
      <c r="B7" s="2" t="s">
        <v>33</v>
      </c>
      <c r="C7" s="2" t="s">
        <v>34</v>
      </c>
      <c r="D7" s="3" t="n">
        <v>45673</v>
      </c>
      <c r="E7" s="2" t="n">
        <v>15</v>
      </c>
      <c r="F7" s="3" t="n">
        <v>45688</v>
      </c>
      <c r="G7" s="4" t="n">
        <v>9150</v>
      </c>
      <c r="H7" s="2" t="s">
        <v>19</v>
      </c>
      <c r="I7" s="3" t="n">
        <v>45694</v>
      </c>
      <c r="J7" s="4" t="n">
        <v>9150</v>
      </c>
      <c r="K7" s="2" t="n">
        <v>21</v>
      </c>
      <c r="L7" s="2" t="n">
        <v>6</v>
      </c>
      <c r="M7" s="2" t="str">
        <f aca="false">IF($H7="Outstanding",MAX(0,Summary!$B$3-$F7),"")</f>
        <v/>
      </c>
      <c r="N7" s="2" t="str">
        <f aca="false">IF($M7="","",IF($M7=0,"Current",IF($M7&lt;=30,"1-30",IF($M7&lt;=60,"31-60",IF($M7&lt;=90,"61-90","90+")))))</f>
        <v/>
      </c>
      <c r="O7" s="4" t="n">
        <f aca="false">IF($H7="Outstanding",$G7,0)</f>
        <v>0</v>
      </c>
      <c r="P7" s="5" t="n">
        <f aca="false">$O7*IF($M7="",0,$M7)</f>
        <v>0</v>
      </c>
    </row>
    <row r="8" customFormat="false" ht="15" hidden="false" customHeight="false" outlineLevel="0" collapsed="false">
      <c r="A8" s="2" t="s">
        <v>35</v>
      </c>
      <c r="B8" s="2" t="s">
        <v>30</v>
      </c>
      <c r="C8" s="2" t="s">
        <v>31</v>
      </c>
      <c r="D8" s="3" t="n">
        <v>45677</v>
      </c>
      <c r="E8" s="2" t="n">
        <v>30</v>
      </c>
      <c r="F8" s="3" t="n">
        <v>45707</v>
      </c>
      <c r="G8" s="4" t="n">
        <v>6900</v>
      </c>
      <c r="H8" s="2" t="s">
        <v>19</v>
      </c>
      <c r="I8" s="3" t="n">
        <v>45723</v>
      </c>
      <c r="J8" s="4" t="n">
        <v>6900</v>
      </c>
      <c r="K8" s="2" t="n">
        <v>46</v>
      </c>
      <c r="L8" s="2" t="n">
        <v>16</v>
      </c>
      <c r="M8" s="2" t="str">
        <f aca="false">IF($H8="Outstanding",MAX(0,Summary!$B$3-$F8),"")</f>
        <v/>
      </c>
      <c r="N8" s="2" t="str">
        <f aca="false">IF($M8="","",IF($M8=0,"Current",IF($M8&lt;=30,"1-30",IF($M8&lt;=60,"31-60",IF($M8&lt;=90,"61-90","90+")))))</f>
        <v/>
      </c>
      <c r="O8" s="4" t="n">
        <f aca="false">IF($H8="Outstanding",$G8,0)</f>
        <v>0</v>
      </c>
      <c r="P8" s="5" t="n">
        <f aca="false">$O8*IF($M8="",0,$M8)</f>
        <v>0</v>
      </c>
    </row>
    <row r="9" customFormat="false" ht="15" hidden="false" customHeight="false" outlineLevel="0" collapsed="false">
      <c r="A9" s="2" t="s">
        <v>36</v>
      </c>
      <c r="B9" s="2" t="s">
        <v>37</v>
      </c>
      <c r="C9" s="2" t="s">
        <v>38</v>
      </c>
      <c r="D9" s="3" t="n">
        <v>45681</v>
      </c>
      <c r="E9" s="2" t="n">
        <v>30</v>
      </c>
      <c r="F9" s="3" t="n">
        <v>45711</v>
      </c>
      <c r="G9" s="4" t="n">
        <v>8550</v>
      </c>
      <c r="H9" s="2" t="s">
        <v>19</v>
      </c>
      <c r="I9" s="3" t="n">
        <v>45737</v>
      </c>
      <c r="J9" s="4" t="n">
        <v>8550</v>
      </c>
      <c r="K9" s="2" t="n">
        <v>56</v>
      </c>
      <c r="L9" s="2" t="n">
        <v>26</v>
      </c>
      <c r="M9" s="2" t="str">
        <f aca="false">IF($H9="Outstanding",MAX(0,Summary!$B$3-$F9),"")</f>
        <v/>
      </c>
      <c r="N9" s="2" t="str">
        <f aca="false">IF($M9="","",IF($M9=0,"Current",IF($M9&lt;=30,"1-30",IF($M9&lt;=60,"31-60",IF($M9&lt;=90,"61-90","90+")))))</f>
        <v/>
      </c>
      <c r="O9" s="4" t="n">
        <f aca="false">IF($H9="Outstanding",$G9,0)</f>
        <v>0</v>
      </c>
      <c r="P9" s="5" t="n">
        <f aca="false">$O9*IF($M9="",0,$M9)</f>
        <v>0</v>
      </c>
    </row>
    <row r="10" customFormat="false" ht="15" hidden="false" customHeight="false" outlineLevel="0" collapsed="false">
      <c r="A10" s="2" t="s">
        <v>39</v>
      </c>
      <c r="B10" s="2" t="s">
        <v>40</v>
      </c>
      <c r="C10" s="2" t="s">
        <v>41</v>
      </c>
      <c r="D10" s="3" t="n">
        <v>45660</v>
      </c>
      <c r="E10" s="2" t="n">
        <v>30</v>
      </c>
      <c r="F10" s="3" t="n">
        <v>45690</v>
      </c>
      <c r="G10" s="4" t="n">
        <v>10950</v>
      </c>
      <c r="H10" s="2" t="s">
        <v>19</v>
      </c>
      <c r="I10" s="3" t="n">
        <v>45726</v>
      </c>
      <c r="J10" s="4" t="n">
        <v>10950</v>
      </c>
      <c r="K10" s="2" t="n">
        <v>66</v>
      </c>
      <c r="L10" s="2" t="n">
        <v>36</v>
      </c>
      <c r="M10" s="2" t="str">
        <f aca="false">IF($H10="Outstanding",MAX(0,Summary!$B$3-$F10),"")</f>
        <v/>
      </c>
      <c r="N10" s="2" t="str">
        <f aca="false">IF($M10="","",IF($M10=0,"Current",IF($M10&lt;=30,"1-30",IF($M10&lt;=60,"31-60",IF($M10&lt;=90,"61-90","90+")))))</f>
        <v/>
      </c>
      <c r="O10" s="4" t="n">
        <f aca="false">IF($H10="Outstanding",$G10,0)</f>
        <v>0</v>
      </c>
      <c r="P10" s="5" t="n">
        <f aca="false">$O10*IF($M10="",0,$M10)</f>
        <v>0</v>
      </c>
    </row>
    <row r="11" customFormat="false" ht="15" hidden="false" customHeight="false" outlineLevel="0" collapsed="false">
      <c r="A11" s="2" t="s">
        <v>42</v>
      </c>
      <c r="B11" s="2" t="s">
        <v>43</v>
      </c>
      <c r="C11" s="2" t="s">
        <v>44</v>
      </c>
      <c r="D11" s="3" t="n">
        <v>45674</v>
      </c>
      <c r="E11" s="2" t="n">
        <v>30</v>
      </c>
      <c r="F11" s="3" t="n">
        <v>45704</v>
      </c>
      <c r="G11" s="4" t="n">
        <v>15700</v>
      </c>
      <c r="H11" s="2" t="s">
        <v>45</v>
      </c>
      <c r="I11" s="3" t="n">
        <v>45706</v>
      </c>
      <c r="J11" s="4" t="n">
        <v>15700</v>
      </c>
      <c r="K11" s="2" t="n">
        <v>32</v>
      </c>
      <c r="L11" s="2" t="n">
        <v>2</v>
      </c>
      <c r="M11" s="2" t="str">
        <f aca="false">IF($H11="Outstanding",MAX(0,Summary!$B$3-$F11),"")</f>
        <v/>
      </c>
      <c r="N11" s="2" t="str">
        <f aca="false">IF($M11="","",IF($M11=0,"Current",IF($M11&lt;=30,"1-30",IF($M11&lt;=60,"31-60",IF($M11&lt;=90,"61-90","90+")))))</f>
        <v/>
      </c>
      <c r="O11" s="4" t="n">
        <f aca="false">IF($H11="Outstanding",$G11,0)</f>
        <v>0</v>
      </c>
      <c r="P11" s="5" t="n">
        <f aca="false">$O11*IF($M11="",0,$M11)</f>
        <v>0</v>
      </c>
    </row>
    <row r="12" customFormat="false" ht="15" hidden="false" customHeight="false" outlineLevel="0" collapsed="false">
      <c r="A12" s="2" t="s">
        <v>46</v>
      </c>
      <c r="B12" s="2" t="s">
        <v>47</v>
      </c>
      <c r="C12" s="2" t="s">
        <v>48</v>
      </c>
      <c r="D12" s="3" t="n">
        <v>45681</v>
      </c>
      <c r="E12" s="2" t="n">
        <v>15</v>
      </c>
      <c r="F12" s="3" t="n">
        <v>45696</v>
      </c>
      <c r="G12" s="4" t="n">
        <v>1900</v>
      </c>
      <c r="H12" s="2" t="s">
        <v>19</v>
      </c>
      <c r="I12" s="3" t="n">
        <v>45692</v>
      </c>
      <c r="J12" s="4" t="n">
        <v>1900</v>
      </c>
      <c r="K12" s="2" t="n">
        <v>11</v>
      </c>
      <c r="L12" s="2" t="n">
        <v>-4</v>
      </c>
      <c r="M12" s="2" t="str">
        <f aca="false">IF($H12="Outstanding",MAX(0,Summary!$B$3-$F12),"")</f>
        <v/>
      </c>
      <c r="N12" s="2" t="str">
        <f aca="false">IF($M12="","",IF($M12=0,"Current",IF($M12&lt;=30,"1-30",IF($M12&lt;=60,"31-60",IF($M12&lt;=90,"61-90","90+")))))</f>
        <v/>
      </c>
      <c r="O12" s="4" t="n">
        <f aca="false">IF($H12="Outstanding",$G12,0)</f>
        <v>0</v>
      </c>
      <c r="P12" s="5" t="n">
        <f aca="false">$O12*IF($M12="",0,$M12)</f>
        <v>0</v>
      </c>
    </row>
    <row r="13" customFormat="false" ht="15" hidden="false" customHeight="false" outlineLevel="0" collapsed="false">
      <c r="A13" s="2" t="s">
        <v>49</v>
      </c>
      <c r="B13" s="2" t="s">
        <v>21</v>
      </c>
      <c r="C13" s="2" t="s">
        <v>22</v>
      </c>
      <c r="D13" s="3" t="n">
        <v>45673</v>
      </c>
      <c r="E13" s="2" t="n">
        <v>30</v>
      </c>
      <c r="F13" s="3" t="n">
        <v>45703</v>
      </c>
      <c r="G13" s="4" t="n">
        <v>18000</v>
      </c>
      <c r="H13" s="2" t="s">
        <v>19</v>
      </c>
      <c r="I13" s="3" t="n">
        <v>45715</v>
      </c>
      <c r="J13" s="4" t="n">
        <v>18000</v>
      </c>
      <c r="K13" s="2" t="n">
        <v>42</v>
      </c>
      <c r="L13" s="2" t="n">
        <v>12</v>
      </c>
      <c r="M13" s="2" t="str">
        <f aca="false">IF($H13="Outstanding",MAX(0,Summary!$B$3-$F13),"")</f>
        <v/>
      </c>
      <c r="N13" s="2" t="str">
        <f aca="false">IF($M13="","",IF($M13=0,"Current",IF($M13&lt;=30,"1-30",IF($M13&lt;=60,"31-60",IF($M13&lt;=90,"61-90","90+")))))</f>
        <v/>
      </c>
      <c r="O13" s="4" t="n">
        <f aca="false">IF($H13="Outstanding",$G13,0)</f>
        <v>0</v>
      </c>
      <c r="P13" s="5" t="n">
        <f aca="false">$O13*IF($M13="",0,$M13)</f>
        <v>0</v>
      </c>
    </row>
    <row r="14" customFormat="false" ht="15" hidden="false" customHeight="false" outlineLevel="0" collapsed="false">
      <c r="A14" s="2" t="s">
        <v>50</v>
      </c>
      <c r="B14" s="2" t="s">
        <v>27</v>
      </c>
      <c r="C14" s="2" t="s">
        <v>28</v>
      </c>
      <c r="D14" s="3" t="n">
        <v>45672</v>
      </c>
      <c r="E14" s="2" t="n">
        <v>45</v>
      </c>
      <c r="F14" s="3" t="n">
        <v>45717</v>
      </c>
      <c r="G14" s="4" t="n">
        <v>24000</v>
      </c>
      <c r="H14" s="2" t="s">
        <v>19</v>
      </c>
      <c r="I14" s="3" t="n">
        <v>45736</v>
      </c>
      <c r="J14" s="4" t="n">
        <v>24000</v>
      </c>
      <c r="K14" s="2" t="n">
        <v>64</v>
      </c>
      <c r="L14" s="2" t="n">
        <v>19</v>
      </c>
      <c r="M14" s="2" t="str">
        <f aca="false">IF($H14="Outstanding",MAX(0,Summary!$B$3-$F14),"")</f>
        <v/>
      </c>
      <c r="N14" s="2" t="str">
        <f aca="false">IF($M14="","",IF($M14=0,"Current",IF($M14&lt;=30,"1-30",IF($M14&lt;=60,"31-60",IF($M14&lt;=90,"61-90","90+")))))</f>
        <v/>
      </c>
      <c r="O14" s="4" t="n">
        <f aca="false">IF($H14="Outstanding",$G14,0)</f>
        <v>0</v>
      </c>
      <c r="P14" s="5" t="n">
        <f aca="false">$O14*IF($M14="",0,$M14)</f>
        <v>0</v>
      </c>
    </row>
    <row r="15" customFormat="false" ht="15" hidden="false" customHeight="false" outlineLevel="0" collapsed="false">
      <c r="A15" s="2" t="s">
        <v>51</v>
      </c>
      <c r="B15" s="2" t="s">
        <v>52</v>
      </c>
      <c r="C15" s="2" t="s">
        <v>53</v>
      </c>
      <c r="D15" s="3" t="n">
        <v>45677</v>
      </c>
      <c r="E15" s="2" t="n">
        <v>30</v>
      </c>
      <c r="F15" s="3" t="n">
        <v>45707</v>
      </c>
      <c r="G15" s="4" t="n">
        <v>6100</v>
      </c>
      <c r="H15" s="2" t="s">
        <v>19</v>
      </c>
      <c r="I15" s="3" t="n">
        <v>45737</v>
      </c>
      <c r="J15" s="4" t="n">
        <v>6100</v>
      </c>
      <c r="K15" s="2" t="n">
        <v>60</v>
      </c>
      <c r="L15" s="2" t="n">
        <v>30</v>
      </c>
      <c r="M15" s="2" t="str">
        <f aca="false">IF($H15="Outstanding",MAX(0,Summary!$B$3-$F15),"")</f>
        <v/>
      </c>
      <c r="N15" s="2" t="str">
        <f aca="false">IF($M15="","",IF($M15=0,"Current",IF($M15&lt;=30,"1-30",IF($M15&lt;=60,"31-60",IF($M15&lt;=90,"61-90","90+")))))</f>
        <v/>
      </c>
      <c r="O15" s="4" t="n">
        <f aca="false">IF($H15="Outstanding",$G15,0)</f>
        <v>0</v>
      </c>
      <c r="P15" s="5" t="n">
        <f aca="false">$O15*IF($M15="",0,$M15)</f>
        <v>0</v>
      </c>
    </row>
    <row r="16" customFormat="false" ht="15" hidden="false" customHeight="false" outlineLevel="0" collapsed="false">
      <c r="A16" s="2" t="s">
        <v>54</v>
      </c>
      <c r="B16" s="2" t="s">
        <v>55</v>
      </c>
      <c r="C16" s="2" t="s">
        <v>56</v>
      </c>
      <c r="D16" s="3" t="n">
        <v>45670</v>
      </c>
      <c r="E16" s="2" t="n">
        <v>30</v>
      </c>
      <c r="F16" s="3" t="n">
        <v>45700</v>
      </c>
      <c r="G16" s="4" t="n">
        <v>12550</v>
      </c>
      <c r="H16" s="2" t="s">
        <v>19</v>
      </c>
      <c r="I16" s="3" t="n">
        <v>45708</v>
      </c>
      <c r="J16" s="4" t="n">
        <v>12550</v>
      </c>
      <c r="K16" s="2" t="n">
        <v>38</v>
      </c>
      <c r="L16" s="2" t="n">
        <v>8</v>
      </c>
      <c r="M16" s="2" t="str">
        <f aca="false">IF($H16="Outstanding",MAX(0,Summary!$B$3-$F16),"")</f>
        <v/>
      </c>
      <c r="N16" s="2" t="str">
        <f aca="false">IF($M16="","",IF($M16=0,"Current",IF($M16&lt;=30,"1-30",IF($M16&lt;=60,"31-60",IF($M16&lt;=90,"61-90","90+")))))</f>
        <v/>
      </c>
      <c r="O16" s="4" t="n">
        <f aca="false">IF($H16="Outstanding",$G16,0)</f>
        <v>0</v>
      </c>
      <c r="P16" s="5" t="n">
        <f aca="false">$O16*IF($M16="",0,$M16)</f>
        <v>0</v>
      </c>
    </row>
    <row r="17" customFormat="false" ht="15" hidden="false" customHeight="false" outlineLevel="0" collapsed="false">
      <c r="A17" s="2" t="s">
        <v>57</v>
      </c>
      <c r="B17" s="2" t="s">
        <v>55</v>
      </c>
      <c r="C17" s="2" t="s">
        <v>56</v>
      </c>
      <c r="D17" s="3" t="n">
        <v>45670</v>
      </c>
      <c r="E17" s="2" t="n">
        <v>30</v>
      </c>
      <c r="F17" s="3" t="n">
        <v>45700</v>
      </c>
      <c r="G17" s="4" t="n">
        <v>5550</v>
      </c>
      <c r="H17" s="2" t="s">
        <v>19</v>
      </c>
      <c r="I17" s="3" t="n">
        <v>45705</v>
      </c>
      <c r="J17" s="4" t="n">
        <v>5550</v>
      </c>
      <c r="K17" s="2" t="n">
        <v>35</v>
      </c>
      <c r="L17" s="2" t="n">
        <v>5</v>
      </c>
      <c r="M17" s="2" t="str">
        <f aca="false">IF($H17="Outstanding",MAX(0,Summary!$B$3-$F17),"")</f>
        <v/>
      </c>
      <c r="N17" s="2" t="str">
        <f aca="false">IF($M17="","",IF($M17=0,"Current",IF($M17&lt;=30,"1-30",IF($M17&lt;=60,"31-60",IF($M17&lt;=90,"61-90","90+")))))</f>
        <v/>
      </c>
      <c r="O17" s="4" t="n">
        <f aca="false">IF($H17="Outstanding",$G17,0)</f>
        <v>0</v>
      </c>
      <c r="P17" s="5" t="n">
        <f aca="false">$O17*IF($M17="",0,$M17)</f>
        <v>0</v>
      </c>
    </row>
    <row r="18" customFormat="false" ht="15" hidden="false" customHeight="false" outlineLevel="0" collapsed="false">
      <c r="A18" s="2" t="s">
        <v>58</v>
      </c>
      <c r="B18" s="2" t="s">
        <v>40</v>
      </c>
      <c r="C18" s="2" t="s">
        <v>41</v>
      </c>
      <c r="D18" s="3" t="n">
        <v>45713</v>
      </c>
      <c r="E18" s="2" t="n">
        <v>30</v>
      </c>
      <c r="F18" s="3" t="n">
        <v>45743</v>
      </c>
      <c r="G18" s="4" t="n">
        <v>13400</v>
      </c>
      <c r="H18" s="2" t="s">
        <v>19</v>
      </c>
      <c r="I18" s="3" t="n">
        <v>45775</v>
      </c>
      <c r="J18" s="4" t="n">
        <v>13400</v>
      </c>
      <c r="K18" s="2" t="n">
        <v>62</v>
      </c>
      <c r="L18" s="2" t="n">
        <v>30</v>
      </c>
      <c r="M18" s="2" t="str">
        <f aca="false">IF($H18="Outstanding",MAX(0,Summary!$B$3-$F18),"")</f>
        <v/>
      </c>
      <c r="N18" s="2" t="str">
        <f aca="false">IF($M18="","",IF($M18=0,"Current",IF($M18&lt;=30,"1-30",IF($M18&lt;=60,"31-60",IF($M18&lt;=90,"61-90","90+")))))</f>
        <v/>
      </c>
      <c r="O18" s="4" t="n">
        <f aca="false">IF($H18="Outstanding",$G18,0)</f>
        <v>0</v>
      </c>
      <c r="P18" s="5" t="n">
        <f aca="false">$O18*IF($M18="",0,$M18)</f>
        <v>0</v>
      </c>
    </row>
    <row r="19" customFormat="false" ht="15" hidden="false" customHeight="false" outlineLevel="0" collapsed="false">
      <c r="A19" s="2" t="s">
        <v>59</v>
      </c>
      <c r="B19" s="2" t="s">
        <v>60</v>
      </c>
      <c r="C19" s="2" t="s">
        <v>61</v>
      </c>
      <c r="D19" s="3" t="n">
        <v>45701</v>
      </c>
      <c r="E19" s="2" t="n">
        <v>15</v>
      </c>
      <c r="F19" s="3" t="n">
        <v>45716</v>
      </c>
      <c r="G19" s="4" t="n">
        <v>3250</v>
      </c>
      <c r="H19" s="2" t="s">
        <v>19</v>
      </c>
      <c r="I19" s="3" t="n">
        <v>45719</v>
      </c>
      <c r="J19" s="4" t="n">
        <v>3250</v>
      </c>
      <c r="K19" s="2" t="n">
        <v>18</v>
      </c>
      <c r="L19" s="2" t="n">
        <v>3</v>
      </c>
      <c r="M19" s="2" t="str">
        <f aca="false">IF($H19="Outstanding",MAX(0,Summary!$B$3-$F19),"")</f>
        <v/>
      </c>
      <c r="N19" s="2" t="str">
        <f aca="false">IF($M19="","",IF($M19=0,"Current",IF($M19&lt;=30,"1-30",IF($M19&lt;=60,"31-60",IF($M19&lt;=90,"61-90","90+")))))</f>
        <v/>
      </c>
      <c r="O19" s="4" t="n">
        <f aca="false">IF($H19="Outstanding",$G19,0)</f>
        <v>0</v>
      </c>
      <c r="P19" s="5" t="n">
        <f aca="false">$O19*IF($M19="",0,$M19)</f>
        <v>0</v>
      </c>
    </row>
    <row r="20" customFormat="false" ht="15" hidden="false" customHeight="false" outlineLevel="0" collapsed="false">
      <c r="A20" s="2" t="s">
        <v>62</v>
      </c>
      <c r="B20" s="2" t="s">
        <v>63</v>
      </c>
      <c r="C20" s="2" t="s">
        <v>64</v>
      </c>
      <c r="D20" s="3" t="n">
        <v>45712</v>
      </c>
      <c r="E20" s="2" t="n">
        <v>15</v>
      </c>
      <c r="F20" s="3" t="n">
        <v>45727</v>
      </c>
      <c r="G20" s="4" t="n">
        <v>7650</v>
      </c>
      <c r="H20" s="2" t="s">
        <v>19</v>
      </c>
      <c r="I20" s="3" t="n">
        <v>45728</v>
      </c>
      <c r="J20" s="4" t="n">
        <v>7650</v>
      </c>
      <c r="K20" s="2" t="n">
        <v>16</v>
      </c>
      <c r="L20" s="2" t="n">
        <v>1</v>
      </c>
      <c r="M20" s="2" t="str">
        <f aca="false">IF($H20="Outstanding",MAX(0,Summary!$B$3-$F20),"")</f>
        <v/>
      </c>
      <c r="N20" s="2" t="str">
        <f aca="false">IF($M20="","",IF($M20=0,"Current",IF($M20&lt;=30,"1-30",IF($M20&lt;=60,"31-60",IF($M20&lt;=90,"61-90","90+")))))</f>
        <v/>
      </c>
      <c r="O20" s="4" t="n">
        <f aca="false">IF($H20="Outstanding",$G20,0)</f>
        <v>0</v>
      </c>
      <c r="P20" s="5" t="n">
        <f aca="false">$O20*IF($M20="",0,$M20)</f>
        <v>0</v>
      </c>
    </row>
    <row r="21" customFormat="false" ht="15" hidden="false" customHeight="false" outlineLevel="0" collapsed="false">
      <c r="A21" s="2" t="s">
        <v>65</v>
      </c>
      <c r="B21" s="2" t="s">
        <v>21</v>
      </c>
      <c r="C21" s="2" t="s">
        <v>22</v>
      </c>
      <c r="D21" s="3" t="n">
        <v>45691</v>
      </c>
      <c r="E21" s="2" t="n">
        <v>30</v>
      </c>
      <c r="F21" s="3" t="n">
        <v>45721</v>
      </c>
      <c r="G21" s="4" t="n">
        <v>6900</v>
      </c>
      <c r="H21" s="2" t="s">
        <v>19</v>
      </c>
      <c r="I21" s="3" t="n">
        <v>45747</v>
      </c>
      <c r="J21" s="4" t="n">
        <v>6900</v>
      </c>
      <c r="K21" s="2" t="n">
        <v>56</v>
      </c>
      <c r="L21" s="2" t="n">
        <v>26</v>
      </c>
      <c r="M21" s="2" t="str">
        <f aca="false">IF($H21="Outstanding",MAX(0,Summary!$B$3-$F21),"")</f>
        <v/>
      </c>
      <c r="N21" s="2" t="str">
        <f aca="false">IF($M21="","",IF($M21=0,"Current",IF($M21&lt;=30,"1-30",IF($M21&lt;=60,"31-60",IF($M21&lt;=90,"61-90","90+")))))</f>
        <v/>
      </c>
      <c r="O21" s="4" t="n">
        <f aca="false">IF($H21="Outstanding",$G21,0)</f>
        <v>0</v>
      </c>
      <c r="P21" s="5" t="n">
        <f aca="false">$O21*IF($M21="",0,$M21)</f>
        <v>0</v>
      </c>
    </row>
    <row r="22" customFormat="false" ht="15" hidden="false" customHeight="false" outlineLevel="0" collapsed="false">
      <c r="A22" s="2" t="s">
        <v>66</v>
      </c>
      <c r="B22" s="2" t="s">
        <v>67</v>
      </c>
      <c r="C22" s="2" t="s">
        <v>68</v>
      </c>
      <c r="D22" s="3" t="n">
        <v>45707</v>
      </c>
      <c r="E22" s="2" t="n">
        <v>30</v>
      </c>
      <c r="F22" s="3" t="n">
        <v>45737</v>
      </c>
      <c r="G22" s="4" t="n">
        <v>6650</v>
      </c>
      <c r="H22" s="2" t="s">
        <v>19</v>
      </c>
      <c r="I22" s="3" t="n">
        <v>45751</v>
      </c>
      <c r="J22" s="4" t="n">
        <v>6650</v>
      </c>
      <c r="K22" s="2" t="n">
        <v>44</v>
      </c>
      <c r="L22" s="2" t="n">
        <v>14</v>
      </c>
      <c r="M22" s="2" t="str">
        <f aca="false">IF($H22="Outstanding",MAX(0,Summary!$B$3-$F22),"")</f>
        <v/>
      </c>
      <c r="N22" s="2" t="str">
        <f aca="false">IF($M22="","",IF($M22=0,"Current",IF($M22&lt;=30,"1-30",IF($M22&lt;=60,"31-60",IF($M22&lt;=90,"61-90","90+")))))</f>
        <v/>
      </c>
      <c r="O22" s="4" t="n">
        <f aca="false">IF($H22="Outstanding",$G22,0)</f>
        <v>0</v>
      </c>
      <c r="P22" s="5" t="n">
        <f aca="false">$O22*IF($M22="",0,$M22)</f>
        <v>0</v>
      </c>
    </row>
    <row r="23" customFormat="false" ht="15" hidden="false" customHeight="false" outlineLevel="0" collapsed="false">
      <c r="A23" s="2" t="s">
        <v>69</v>
      </c>
      <c r="B23" s="2" t="s">
        <v>47</v>
      </c>
      <c r="C23" s="2" t="s">
        <v>48</v>
      </c>
      <c r="D23" s="3" t="n">
        <v>45692</v>
      </c>
      <c r="E23" s="2" t="n">
        <v>15</v>
      </c>
      <c r="F23" s="3" t="n">
        <v>45707</v>
      </c>
      <c r="G23" s="4" t="n">
        <v>2750</v>
      </c>
      <c r="H23" s="2" t="s">
        <v>19</v>
      </c>
      <c r="I23" s="3" t="n">
        <v>45712</v>
      </c>
      <c r="J23" s="4" t="n">
        <v>2750</v>
      </c>
      <c r="K23" s="2" t="n">
        <v>20</v>
      </c>
      <c r="L23" s="2" t="n">
        <v>4</v>
      </c>
      <c r="M23" s="2" t="str">
        <f aca="false">IF($H23="Outstanding",MAX(0,Summary!$B$3-$F23),"")</f>
        <v/>
      </c>
      <c r="N23" s="2" t="str">
        <f aca="false">IF($M23="","",IF($M23=0,"Current",IF($M23&lt;=30,"1-30",IF($M23&lt;=60,"31-60",IF($M23&lt;=90,"61-90","90+")))))</f>
        <v/>
      </c>
      <c r="O23" s="4" t="n">
        <f aca="false">IF($H23="Outstanding",$G23,0)</f>
        <v>0</v>
      </c>
      <c r="P23" s="5" t="n">
        <f aca="false">$O23*IF($M23="",0,$M23)</f>
        <v>0</v>
      </c>
    </row>
    <row r="24" customFormat="false" ht="15" hidden="false" customHeight="false" outlineLevel="0" collapsed="false">
      <c r="A24" s="2" t="s">
        <v>70</v>
      </c>
      <c r="B24" s="2" t="s">
        <v>21</v>
      </c>
      <c r="C24" s="2" t="s">
        <v>22</v>
      </c>
      <c r="D24" s="3" t="n">
        <v>45705</v>
      </c>
      <c r="E24" s="2" t="n">
        <v>30</v>
      </c>
      <c r="F24" s="3" t="n">
        <v>45735</v>
      </c>
      <c r="G24" s="4" t="n">
        <v>5250</v>
      </c>
      <c r="H24" s="2" t="s">
        <v>19</v>
      </c>
      <c r="I24" s="3" t="n">
        <v>45777</v>
      </c>
      <c r="J24" s="4" t="n">
        <v>5250</v>
      </c>
      <c r="K24" s="2" t="n">
        <v>72</v>
      </c>
      <c r="L24" s="2" t="n">
        <v>42</v>
      </c>
      <c r="M24" s="2" t="str">
        <f aca="false">IF($H24="Outstanding",MAX(0,Summary!$B$3-$F24),"")</f>
        <v/>
      </c>
      <c r="N24" s="2" t="str">
        <f aca="false">IF($M24="","",IF($M24=0,"Current",IF($M24&lt;=30,"1-30",IF($M24&lt;=60,"31-60",IF($M24&lt;=90,"61-90","90+")))))</f>
        <v/>
      </c>
      <c r="O24" s="4" t="n">
        <f aca="false">IF($H24="Outstanding",$G24,0)</f>
        <v>0</v>
      </c>
      <c r="P24" s="5" t="n">
        <f aca="false">$O24*IF($M24="",0,$M24)</f>
        <v>0</v>
      </c>
    </row>
    <row r="25" customFormat="false" ht="15" hidden="false" customHeight="false" outlineLevel="0" collapsed="false">
      <c r="A25" s="2" t="s">
        <v>71</v>
      </c>
      <c r="B25" s="2" t="s">
        <v>52</v>
      </c>
      <c r="C25" s="2" t="s">
        <v>53</v>
      </c>
      <c r="D25" s="3" t="n">
        <v>45693</v>
      </c>
      <c r="E25" s="2" t="n">
        <v>30</v>
      </c>
      <c r="F25" s="3" t="n">
        <v>45723</v>
      </c>
      <c r="G25" s="4" t="n">
        <v>3200</v>
      </c>
      <c r="H25" s="2" t="s">
        <v>19</v>
      </c>
      <c r="I25" s="3" t="n">
        <v>45756</v>
      </c>
      <c r="J25" s="4" t="n">
        <v>3200</v>
      </c>
      <c r="K25" s="2" t="n">
        <v>63</v>
      </c>
      <c r="L25" s="2" t="n">
        <v>33</v>
      </c>
      <c r="M25" s="2" t="str">
        <f aca="false">IF($H25="Outstanding",MAX(0,Summary!$B$3-$F25),"")</f>
        <v/>
      </c>
      <c r="N25" s="2" t="str">
        <f aca="false">IF($M25="","",IF($M25=0,"Current",IF($M25&lt;=30,"1-30",IF($M25&lt;=60,"31-60",IF($M25&lt;=90,"61-90","90+")))))</f>
        <v/>
      </c>
      <c r="O25" s="4" t="n">
        <f aca="false">IF($H25="Outstanding",$G25,0)</f>
        <v>0</v>
      </c>
      <c r="P25" s="5" t="n">
        <f aca="false">$O25*IF($M25="",0,$M25)</f>
        <v>0</v>
      </c>
    </row>
    <row r="26" customFormat="false" ht="15" hidden="false" customHeight="false" outlineLevel="0" collapsed="false">
      <c r="A26" s="2" t="s">
        <v>72</v>
      </c>
      <c r="B26" s="2" t="s">
        <v>30</v>
      </c>
      <c r="C26" s="2" t="s">
        <v>31</v>
      </c>
      <c r="D26" s="3" t="n">
        <v>45698</v>
      </c>
      <c r="E26" s="2" t="n">
        <v>30</v>
      </c>
      <c r="F26" s="3" t="n">
        <v>45728</v>
      </c>
      <c r="G26" s="4" t="n">
        <v>10750</v>
      </c>
      <c r="H26" s="2" t="s">
        <v>19</v>
      </c>
      <c r="I26" s="3" t="n">
        <v>45740</v>
      </c>
      <c r="J26" s="4" t="n">
        <v>10750</v>
      </c>
      <c r="K26" s="2" t="n">
        <v>42</v>
      </c>
      <c r="L26" s="2" t="n">
        <v>11</v>
      </c>
      <c r="M26" s="2" t="str">
        <f aca="false">IF($H26="Outstanding",MAX(0,Summary!$B$3-$F26),"")</f>
        <v/>
      </c>
      <c r="N26" s="2" t="str">
        <f aca="false">IF($M26="","",IF($M26=0,"Current",IF($M26&lt;=30,"1-30",IF($M26&lt;=60,"31-60",IF($M26&lt;=90,"61-90","90+")))))</f>
        <v/>
      </c>
      <c r="O26" s="4" t="n">
        <f aca="false">IF($H26="Outstanding",$G26,0)</f>
        <v>0</v>
      </c>
      <c r="P26" s="5" t="n">
        <f aca="false">$O26*IF($M26="",0,$M26)</f>
        <v>0</v>
      </c>
    </row>
    <row r="27" customFormat="false" ht="15" hidden="false" customHeight="false" outlineLevel="0" collapsed="false">
      <c r="A27" s="2" t="s">
        <v>73</v>
      </c>
      <c r="B27" s="2" t="s">
        <v>24</v>
      </c>
      <c r="C27" s="2" t="s">
        <v>25</v>
      </c>
      <c r="D27" s="3" t="n">
        <v>45699</v>
      </c>
      <c r="E27" s="2" t="n">
        <v>30</v>
      </c>
      <c r="F27" s="3" t="n">
        <v>45729</v>
      </c>
      <c r="G27" s="4" t="n">
        <v>6550</v>
      </c>
      <c r="H27" s="2" t="s">
        <v>19</v>
      </c>
      <c r="I27" s="3" t="n">
        <v>45764</v>
      </c>
      <c r="J27" s="4" t="n">
        <v>6550</v>
      </c>
      <c r="K27" s="2" t="n">
        <v>65</v>
      </c>
      <c r="L27" s="2" t="n">
        <v>35</v>
      </c>
      <c r="M27" s="2" t="str">
        <f aca="false">IF($H27="Outstanding",MAX(0,Summary!$B$3-$F27),"")</f>
        <v/>
      </c>
      <c r="N27" s="2" t="str">
        <f aca="false">IF($M27="","",IF($M27=0,"Current",IF($M27&lt;=30,"1-30",IF($M27&lt;=60,"31-60",IF($M27&lt;=90,"61-90","90+")))))</f>
        <v/>
      </c>
      <c r="O27" s="4" t="n">
        <f aca="false">IF($H27="Outstanding",$G27,0)</f>
        <v>0</v>
      </c>
      <c r="P27" s="5" t="n">
        <f aca="false">$O27*IF($M27="",0,$M27)</f>
        <v>0</v>
      </c>
    </row>
    <row r="28" customFormat="false" ht="15" hidden="false" customHeight="false" outlineLevel="0" collapsed="false">
      <c r="A28" s="2" t="s">
        <v>74</v>
      </c>
      <c r="B28" s="2" t="s">
        <v>33</v>
      </c>
      <c r="C28" s="2" t="s">
        <v>34</v>
      </c>
      <c r="D28" s="3" t="n">
        <v>45706</v>
      </c>
      <c r="E28" s="2" t="n">
        <v>15</v>
      </c>
      <c r="F28" s="3" t="n">
        <v>45721</v>
      </c>
      <c r="G28" s="4" t="n">
        <v>11450</v>
      </c>
      <c r="H28" s="2" t="s">
        <v>19</v>
      </c>
      <c r="I28" s="3" t="n">
        <v>45722</v>
      </c>
      <c r="J28" s="4" t="n">
        <v>11450</v>
      </c>
      <c r="K28" s="2" t="n">
        <v>16</v>
      </c>
      <c r="L28" s="2" t="n">
        <v>1</v>
      </c>
      <c r="M28" s="2" t="str">
        <f aca="false">IF($H28="Outstanding",MAX(0,Summary!$B$3-$F28),"")</f>
        <v/>
      </c>
      <c r="N28" s="2" t="str">
        <f aca="false">IF($M28="","",IF($M28=0,"Current",IF($M28&lt;=30,"1-30",IF($M28&lt;=60,"31-60",IF($M28&lt;=90,"61-90","90+")))))</f>
        <v/>
      </c>
      <c r="O28" s="4" t="n">
        <f aca="false">IF($H28="Outstanding",$G28,0)</f>
        <v>0</v>
      </c>
      <c r="P28" s="5" t="n">
        <f aca="false">$O28*IF($M28="",0,$M28)</f>
        <v>0</v>
      </c>
    </row>
    <row r="29" customFormat="false" ht="15" hidden="false" customHeight="false" outlineLevel="0" collapsed="false">
      <c r="A29" s="2" t="s">
        <v>75</v>
      </c>
      <c r="B29" s="2" t="s">
        <v>17</v>
      </c>
      <c r="C29" s="2" t="s">
        <v>18</v>
      </c>
      <c r="D29" s="3" t="n">
        <v>45713</v>
      </c>
      <c r="E29" s="2" t="n">
        <v>30</v>
      </c>
      <c r="F29" s="3" t="n">
        <v>45743</v>
      </c>
      <c r="G29" s="4" t="n">
        <v>9350</v>
      </c>
      <c r="H29" s="2" t="s">
        <v>19</v>
      </c>
      <c r="I29" s="3" t="n">
        <v>45817</v>
      </c>
      <c r="J29" s="4" t="n">
        <v>9350</v>
      </c>
      <c r="K29" s="2" t="n">
        <v>104</v>
      </c>
      <c r="L29" s="2" t="n">
        <v>72</v>
      </c>
      <c r="M29" s="2" t="str">
        <f aca="false">IF($H29="Outstanding",MAX(0,Summary!$B$3-$F29),"")</f>
        <v/>
      </c>
      <c r="N29" s="2" t="str">
        <f aca="false">IF($M29="","",IF($M29=0,"Current",IF($M29&lt;=30,"1-30",IF($M29&lt;=60,"31-60",IF($M29&lt;=90,"61-90","90+")))))</f>
        <v/>
      </c>
      <c r="O29" s="4" t="n">
        <f aca="false">IF($H29="Outstanding",$G29,0)</f>
        <v>0</v>
      </c>
      <c r="P29" s="5" t="n">
        <f aca="false">$O29*IF($M29="",0,$M29)</f>
        <v>0</v>
      </c>
    </row>
    <row r="30" customFormat="false" ht="15" hidden="false" customHeight="false" outlineLevel="0" collapsed="false">
      <c r="A30" s="2" t="s">
        <v>76</v>
      </c>
      <c r="B30" s="2" t="s">
        <v>77</v>
      </c>
      <c r="C30" s="2" t="s">
        <v>78</v>
      </c>
      <c r="D30" s="3" t="n">
        <v>45734</v>
      </c>
      <c r="E30" s="2" t="n">
        <v>30</v>
      </c>
      <c r="F30" s="3" t="n">
        <v>45764</v>
      </c>
      <c r="G30" s="4" t="n">
        <v>9100</v>
      </c>
      <c r="H30" s="2" t="s">
        <v>19</v>
      </c>
      <c r="I30" s="3" t="n">
        <v>45779</v>
      </c>
      <c r="J30" s="4" t="n">
        <v>9100</v>
      </c>
      <c r="K30" s="2" t="n">
        <v>45</v>
      </c>
      <c r="L30" s="2" t="n">
        <v>15</v>
      </c>
      <c r="M30" s="2" t="str">
        <f aca="false">IF($H30="Outstanding",MAX(0,Summary!$B$3-$F30),"")</f>
        <v/>
      </c>
      <c r="N30" s="2" t="str">
        <f aca="false">IF($M30="","",IF($M30=0,"Current",IF($M30&lt;=30,"1-30",IF($M30&lt;=60,"31-60",IF($M30&lt;=90,"61-90","90+")))))</f>
        <v/>
      </c>
      <c r="O30" s="4" t="n">
        <f aca="false">IF($H30="Outstanding",$G30,0)</f>
        <v>0</v>
      </c>
      <c r="P30" s="5" t="n">
        <f aca="false">$O30*IF($M30="",0,$M30)</f>
        <v>0</v>
      </c>
    </row>
    <row r="31" customFormat="false" ht="15" hidden="false" customHeight="false" outlineLevel="0" collapsed="false">
      <c r="A31" s="2" t="s">
        <v>79</v>
      </c>
      <c r="B31" s="2" t="s">
        <v>55</v>
      </c>
      <c r="C31" s="2" t="s">
        <v>56</v>
      </c>
      <c r="D31" s="3" t="n">
        <v>45726</v>
      </c>
      <c r="E31" s="2" t="n">
        <v>30</v>
      </c>
      <c r="F31" s="3" t="n">
        <v>45756</v>
      </c>
      <c r="G31" s="4" t="n">
        <v>13950</v>
      </c>
      <c r="H31" s="2" t="s">
        <v>19</v>
      </c>
      <c r="I31" s="3" t="n">
        <v>45768</v>
      </c>
      <c r="J31" s="4" t="n">
        <v>13950</v>
      </c>
      <c r="K31" s="2" t="n">
        <v>42</v>
      </c>
      <c r="L31" s="2" t="n">
        <v>10</v>
      </c>
      <c r="M31" s="2" t="str">
        <f aca="false">IF($H31="Outstanding",MAX(0,Summary!$B$3-$F31),"")</f>
        <v/>
      </c>
      <c r="N31" s="2" t="str">
        <f aca="false">IF($M31="","",IF($M31=0,"Current",IF($M31&lt;=30,"1-30",IF($M31&lt;=60,"31-60",IF($M31&lt;=90,"61-90","90+")))))</f>
        <v/>
      </c>
      <c r="O31" s="4" t="n">
        <f aca="false">IF($H31="Outstanding",$G31,0)</f>
        <v>0</v>
      </c>
      <c r="P31" s="5" t="n">
        <f aca="false">$O31*IF($M31="",0,$M31)</f>
        <v>0</v>
      </c>
    </row>
    <row r="32" customFormat="false" ht="15" hidden="false" customHeight="false" outlineLevel="0" collapsed="false">
      <c r="A32" s="2" t="s">
        <v>80</v>
      </c>
      <c r="B32" s="2" t="s">
        <v>40</v>
      </c>
      <c r="C32" s="2" t="s">
        <v>41</v>
      </c>
      <c r="D32" s="3" t="n">
        <v>45740</v>
      </c>
      <c r="E32" s="2" t="n">
        <v>30</v>
      </c>
      <c r="F32" s="3" t="n">
        <v>45770</v>
      </c>
      <c r="G32" s="4" t="n">
        <v>7650</v>
      </c>
      <c r="H32" s="2" t="s">
        <v>19</v>
      </c>
      <c r="I32" s="3" t="n">
        <v>45818</v>
      </c>
      <c r="J32" s="4" t="n">
        <v>7650</v>
      </c>
      <c r="K32" s="2" t="n">
        <v>78</v>
      </c>
      <c r="L32" s="2" t="n">
        <v>48</v>
      </c>
      <c r="M32" s="2" t="str">
        <f aca="false">IF($H32="Outstanding",MAX(0,Summary!$B$3-$F32),"")</f>
        <v/>
      </c>
      <c r="N32" s="2" t="str">
        <f aca="false">IF($M32="","",IF($M32=0,"Current",IF($M32&lt;=30,"1-30",IF($M32&lt;=60,"31-60",IF($M32&lt;=90,"61-90","90+")))))</f>
        <v/>
      </c>
      <c r="O32" s="4" t="n">
        <f aca="false">IF($H32="Outstanding",$G32,0)</f>
        <v>0</v>
      </c>
      <c r="P32" s="5" t="n">
        <f aca="false">$O32*IF($M32="",0,$M32)</f>
        <v>0</v>
      </c>
    </row>
    <row r="33" customFormat="false" ht="15" hidden="false" customHeight="false" outlineLevel="0" collapsed="false">
      <c r="A33" s="2" t="s">
        <v>81</v>
      </c>
      <c r="B33" s="2" t="s">
        <v>17</v>
      </c>
      <c r="C33" s="2" t="s">
        <v>18</v>
      </c>
      <c r="D33" s="3" t="n">
        <v>45740</v>
      </c>
      <c r="E33" s="2" t="n">
        <v>30</v>
      </c>
      <c r="F33" s="3" t="n">
        <v>45770</v>
      </c>
      <c r="G33" s="4" t="n">
        <v>14350</v>
      </c>
      <c r="H33" s="2" t="s">
        <v>19</v>
      </c>
      <c r="I33" s="3" t="n">
        <v>45824</v>
      </c>
      <c r="J33" s="4" t="n">
        <v>14350</v>
      </c>
      <c r="K33" s="2" t="n">
        <v>84</v>
      </c>
      <c r="L33" s="2" t="n">
        <v>52</v>
      </c>
      <c r="M33" s="2" t="str">
        <f aca="false">IF($H33="Outstanding",MAX(0,Summary!$B$3-$F33),"")</f>
        <v/>
      </c>
      <c r="N33" s="2" t="str">
        <f aca="false">IF($M33="","",IF($M33=0,"Current",IF($M33&lt;=30,"1-30",IF($M33&lt;=60,"31-60",IF($M33&lt;=90,"61-90","90+")))))</f>
        <v/>
      </c>
      <c r="O33" s="4" t="n">
        <f aca="false">IF($H33="Outstanding",$G33,0)</f>
        <v>0</v>
      </c>
      <c r="P33" s="5" t="n">
        <f aca="false">$O33*IF($M33="",0,$M33)</f>
        <v>0</v>
      </c>
    </row>
    <row r="34" customFormat="false" ht="15" hidden="false" customHeight="false" outlineLevel="0" collapsed="false">
      <c r="A34" s="2" t="s">
        <v>82</v>
      </c>
      <c r="B34" s="2" t="s">
        <v>33</v>
      </c>
      <c r="C34" s="2" t="s">
        <v>34</v>
      </c>
      <c r="D34" s="3" t="n">
        <v>45733</v>
      </c>
      <c r="E34" s="2" t="n">
        <v>15</v>
      </c>
      <c r="F34" s="3" t="n">
        <v>45748</v>
      </c>
      <c r="G34" s="4" t="n">
        <v>7850</v>
      </c>
      <c r="H34" s="2" t="s">
        <v>19</v>
      </c>
      <c r="I34" s="3" t="n">
        <v>45750</v>
      </c>
      <c r="J34" s="4" t="n">
        <v>7850</v>
      </c>
      <c r="K34" s="2" t="n">
        <v>17</v>
      </c>
      <c r="L34" s="2" t="n">
        <v>2</v>
      </c>
      <c r="M34" s="2" t="str">
        <f aca="false">IF($H34="Outstanding",MAX(0,Summary!$B$3-$F34),"")</f>
        <v/>
      </c>
      <c r="N34" s="2" t="str">
        <f aca="false">IF($M34="","",IF($M34=0,"Current",IF($M34&lt;=30,"1-30",IF($M34&lt;=60,"31-60",IF($M34&lt;=90,"61-90","90+")))))</f>
        <v/>
      </c>
      <c r="O34" s="4" t="n">
        <f aca="false">IF($H34="Outstanding",$G34,0)</f>
        <v>0</v>
      </c>
      <c r="P34" s="5" t="n">
        <f aca="false">$O34*IF($M34="",0,$M34)</f>
        <v>0</v>
      </c>
    </row>
    <row r="35" customFormat="false" ht="15" hidden="false" customHeight="false" outlineLevel="0" collapsed="false">
      <c r="A35" s="2" t="s">
        <v>83</v>
      </c>
      <c r="B35" s="2" t="s">
        <v>84</v>
      </c>
      <c r="C35" s="2" t="s">
        <v>85</v>
      </c>
      <c r="D35" s="3" t="n">
        <v>45727</v>
      </c>
      <c r="E35" s="2" t="n">
        <v>30</v>
      </c>
      <c r="F35" s="3" t="n">
        <v>45757</v>
      </c>
      <c r="G35" s="4" t="n">
        <v>12350</v>
      </c>
      <c r="H35" s="2" t="s">
        <v>19</v>
      </c>
      <c r="I35" s="3" t="n">
        <v>45778</v>
      </c>
      <c r="J35" s="4" t="n">
        <v>12350</v>
      </c>
      <c r="K35" s="2" t="n">
        <v>51</v>
      </c>
      <c r="L35" s="2" t="n">
        <v>21</v>
      </c>
      <c r="M35" s="2" t="str">
        <f aca="false">IF($H35="Outstanding",MAX(0,Summary!$B$3-$F35),"")</f>
        <v/>
      </c>
      <c r="N35" s="2" t="str">
        <f aca="false">IF($M35="","",IF($M35=0,"Current",IF($M35&lt;=30,"1-30",IF($M35&lt;=60,"31-60",IF($M35&lt;=90,"61-90","90+")))))</f>
        <v/>
      </c>
      <c r="O35" s="4" t="n">
        <f aca="false">IF($H35="Outstanding",$G35,0)</f>
        <v>0</v>
      </c>
      <c r="P35" s="5" t="n">
        <f aca="false">$O35*IF($M35="",0,$M35)</f>
        <v>0</v>
      </c>
    </row>
    <row r="36" customFormat="false" ht="15" hidden="false" customHeight="false" outlineLevel="0" collapsed="false">
      <c r="A36" s="2" t="s">
        <v>86</v>
      </c>
      <c r="B36" s="2" t="s">
        <v>30</v>
      </c>
      <c r="C36" s="2" t="s">
        <v>31</v>
      </c>
      <c r="D36" s="3" t="n">
        <v>45726</v>
      </c>
      <c r="E36" s="2" t="n">
        <v>30</v>
      </c>
      <c r="F36" s="3" t="n">
        <v>45756</v>
      </c>
      <c r="G36" s="4" t="n">
        <v>11150</v>
      </c>
      <c r="H36" s="2" t="s">
        <v>19</v>
      </c>
      <c r="I36" s="3" t="n">
        <v>45768</v>
      </c>
      <c r="J36" s="4" t="n">
        <v>11150</v>
      </c>
      <c r="K36" s="2" t="n">
        <v>42</v>
      </c>
      <c r="L36" s="2" t="n">
        <v>10</v>
      </c>
      <c r="M36" s="2" t="str">
        <f aca="false">IF($H36="Outstanding",MAX(0,Summary!$B$3-$F36),"")</f>
        <v/>
      </c>
      <c r="N36" s="2" t="str">
        <f aca="false">IF($M36="","",IF($M36=0,"Current",IF($M36&lt;=30,"1-30",IF($M36&lt;=60,"31-60",IF($M36&lt;=90,"61-90","90+")))))</f>
        <v/>
      </c>
      <c r="O36" s="4" t="n">
        <f aca="false">IF($H36="Outstanding",$G36,0)</f>
        <v>0</v>
      </c>
      <c r="P36" s="5" t="n">
        <f aca="false">$O36*IF($M36="",0,$M36)</f>
        <v>0</v>
      </c>
    </row>
    <row r="37" customFormat="false" ht="15" hidden="false" customHeight="false" outlineLevel="0" collapsed="false">
      <c r="A37" s="2" t="s">
        <v>87</v>
      </c>
      <c r="B37" s="2" t="s">
        <v>88</v>
      </c>
      <c r="C37" s="2" t="s">
        <v>89</v>
      </c>
      <c r="D37" s="3" t="n">
        <v>45730</v>
      </c>
      <c r="E37" s="2" t="n">
        <v>30</v>
      </c>
      <c r="F37" s="3" t="n">
        <v>45760</v>
      </c>
      <c r="G37" s="4" t="n">
        <v>5750</v>
      </c>
      <c r="H37" s="2" t="s">
        <v>19</v>
      </c>
      <c r="I37" s="3" t="n">
        <v>45764</v>
      </c>
      <c r="J37" s="4" t="n">
        <v>5750</v>
      </c>
      <c r="K37" s="2" t="n">
        <v>34</v>
      </c>
      <c r="L37" s="2" t="n">
        <v>4</v>
      </c>
      <c r="M37" s="2" t="str">
        <f aca="false">IF($H37="Outstanding",MAX(0,Summary!$B$3-$F37),"")</f>
        <v/>
      </c>
      <c r="N37" s="2" t="str">
        <f aca="false">IF($M37="","",IF($M37=0,"Current",IF($M37&lt;=30,"1-30",IF($M37&lt;=60,"31-60",IF($M37&lt;=90,"61-90","90+")))))</f>
        <v/>
      </c>
      <c r="O37" s="4" t="n">
        <f aca="false">IF($H37="Outstanding",$G37,0)</f>
        <v>0</v>
      </c>
      <c r="P37" s="5" t="n">
        <f aca="false">$O37*IF($M37="",0,$M37)</f>
        <v>0</v>
      </c>
    </row>
    <row r="38" customFormat="false" ht="15" hidden="false" customHeight="false" outlineLevel="0" collapsed="false">
      <c r="A38" s="2" t="s">
        <v>90</v>
      </c>
      <c r="B38" s="2" t="s">
        <v>24</v>
      </c>
      <c r="C38" s="2" t="s">
        <v>25</v>
      </c>
      <c r="D38" s="3" t="n">
        <v>45722</v>
      </c>
      <c r="E38" s="2" t="n">
        <v>30</v>
      </c>
      <c r="F38" s="3" t="n">
        <v>45752</v>
      </c>
      <c r="G38" s="4" t="n">
        <v>2250</v>
      </c>
      <c r="H38" s="2" t="s">
        <v>19</v>
      </c>
      <c r="I38" s="3" t="n">
        <v>45806</v>
      </c>
      <c r="J38" s="4" t="n">
        <v>2250</v>
      </c>
      <c r="K38" s="2" t="n">
        <v>84</v>
      </c>
      <c r="L38" s="2" t="n">
        <v>54</v>
      </c>
      <c r="M38" s="2" t="str">
        <f aca="false">IF($H38="Outstanding",MAX(0,Summary!$B$3-$F38),"")</f>
        <v/>
      </c>
      <c r="N38" s="2" t="str">
        <f aca="false">IF($M38="","",IF($M38=0,"Current",IF($M38&lt;=30,"1-30",IF($M38&lt;=60,"31-60",IF($M38&lt;=90,"61-90","90+")))))</f>
        <v/>
      </c>
      <c r="O38" s="4" t="n">
        <f aca="false">IF($H38="Outstanding",$G38,0)</f>
        <v>0</v>
      </c>
      <c r="P38" s="5" t="n">
        <f aca="false">$O38*IF($M38="",0,$M38)</f>
        <v>0</v>
      </c>
    </row>
    <row r="39" customFormat="false" ht="15" hidden="false" customHeight="false" outlineLevel="0" collapsed="false">
      <c r="A39" s="2" t="s">
        <v>91</v>
      </c>
      <c r="B39" s="2" t="s">
        <v>52</v>
      </c>
      <c r="C39" s="2" t="s">
        <v>53</v>
      </c>
      <c r="D39" s="3" t="n">
        <v>45736</v>
      </c>
      <c r="E39" s="2" t="n">
        <v>30</v>
      </c>
      <c r="F39" s="3" t="n">
        <v>45766</v>
      </c>
      <c r="G39" s="4" t="n">
        <v>9000</v>
      </c>
      <c r="H39" s="2" t="s">
        <v>19</v>
      </c>
      <c r="I39" s="3" t="n">
        <v>45796</v>
      </c>
      <c r="J39" s="4" t="n">
        <v>9000</v>
      </c>
      <c r="K39" s="2" t="n">
        <v>60</v>
      </c>
      <c r="L39" s="2" t="n">
        <v>29</v>
      </c>
      <c r="M39" s="2" t="str">
        <f aca="false">IF($H39="Outstanding",MAX(0,Summary!$B$3-$F39),"")</f>
        <v/>
      </c>
      <c r="N39" s="2" t="str">
        <f aca="false">IF($M39="","",IF($M39=0,"Current",IF($M39&lt;=30,"1-30",IF($M39&lt;=60,"31-60",IF($M39&lt;=90,"61-90","90+")))))</f>
        <v/>
      </c>
      <c r="O39" s="4" t="n">
        <f aca="false">IF($H39="Outstanding",$G39,0)</f>
        <v>0</v>
      </c>
      <c r="P39" s="5" t="n">
        <f aca="false">$O39*IF($M39="",0,$M39)</f>
        <v>0</v>
      </c>
    </row>
    <row r="40" customFormat="false" ht="15" hidden="false" customHeight="false" outlineLevel="0" collapsed="false">
      <c r="A40" s="2" t="s">
        <v>92</v>
      </c>
      <c r="B40" s="2" t="s">
        <v>77</v>
      </c>
      <c r="C40" s="2" t="s">
        <v>78</v>
      </c>
      <c r="D40" s="3" t="n">
        <v>45763</v>
      </c>
      <c r="E40" s="2" t="n">
        <v>30</v>
      </c>
      <c r="F40" s="3" t="n">
        <v>45793</v>
      </c>
      <c r="G40" s="4" t="n">
        <v>35400</v>
      </c>
      <c r="H40" s="2" t="s">
        <v>19</v>
      </c>
      <c r="I40" s="3" t="n">
        <v>45805</v>
      </c>
      <c r="J40" s="4" t="n">
        <v>35400</v>
      </c>
      <c r="K40" s="2" t="n">
        <v>42</v>
      </c>
      <c r="L40" s="2" t="n">
        <v>12</v>
      </c>
      <c r="M40" s="2" t="str">
        <f aca="false">IF($H40="Outstanding",MAX(0,Summary!$B$3-$F40),"")</f>
        <v/>
      </c>
      <c r="N40" s="2" t="str">
        <f aca="false">IF($M40="","",IF($M40=0,"Current",IF($M40&lt;=30,"1-30",IF($M40&lt;=60,"31-60",IF($M40&lt;=90,"61-90","90+")))))</f>
        <v/>
      </c>
      <c r="O40" s="4" t="n">
        <f aca="false">IF($H40="Outstanding",$G40,0)</f>
        <v>0</v>
      </c>
      <c r="P40" s="5" t="n">
        <f aca="false">$O40*IF($M40="",0,$M40)</f>
        <v>0</v>
      </c>
    </row>
    <row r="41" customFormat="false" ht="15" hidden="false" customHeight="false" outlineLevel="0" collapsed="false">
      <c r="A41" s="2" t="s">
        <v>93</v>
      </c>
      <c r="B41" s="2" t="s">
        <v>47</v>
      </c>
      <c r="C41" s="2" t="s">
        <v>48</v>
      </c>
      <c r="D41" s="3" t="n">
        <v>45756</v>
      </c>
      <c r="E41" s="2" t="n">
        <v>15</v>
      </c>
      <c r="F41" s="3" t="n">
        <v>45771</v>
      </c>
      <c r="G41" s="4" t="n">
        <v>2500</v>
      </c>
      <c r="H41" s="2" t="s">
        <v>19</v>
      </c>
      <c r="I41" s="3" t="n">
        <v>45775</v>
      </c>
      <c r="J41" s="4" t="n">
        <v>2500</v>
      </c>
      <c r="K41" s="2" t="n">
        <v>19</v>
      </c>
      <c r="L41" s="2" t="n">
        <v>3</v>
      </c>
      <c r="M41" s="2" t="str">
        <f aca="false">IF($H41="Outstanding",MAX(0,Summary!$B$3-$F41),"")</f>
        <v/>
      </c>
      <c r="N41" s="2" t="str">
        <f aca="false">IF($M41="","",IF($M41=0,"Current",IF($M41&lt;=30,"1-30",IF($M41&lt;=60,"31-60",IF($M41&lt;=90,"61-90","90+")))))</f>
        <v/>
      </c>
      <c r="O41" s="4" t="n">
        <f aca="false">IF($H41="Outstanding",$G41,0)</f>
        <v>0</v>
      </c>
      <c r="P41" s="5" t="n">
        <f aca="false">$O41*IF($M41="",0,$M41)</f>
        <v>0</v>
      </c>
    </row>
    <row r="42" customFormat="false" ht="15" hidden="false" customHeight="false" outlineLevel="0" collapsed="false">
      <c r="A42" s="2" t="s">
        <v>94</v>
      </c>
      <c r="B42" s="2" t="s">
        <v>52</v>
      </c>
      <c r="C42" s="2" t="s">
        <v>53</v>
      </c>
      <c r="D42" s="3" t="n">
        <v>45769</v>
      </c>
      <c r="E42" s="2" t="n">
        <v>30</v>
      </c>
      <c r="F42" s="3" t="n">
        <v>45799</v>
      </c>
      <c r="G42" s="4" t="n">
        <v>2600</v>
      </c>
      <c r="H42" s="2" t="s">
        <v>19</v>
      </c>
      <c r="I42" s="3" t="n">
        <v>45827</v>
      </c>
      <c r="J42" s="4" t="n">
        <v>2600</v>
      </c>
      <c r="K42" s="2" t="n">
        <v>58</v>
      </c>
      <c r="L42" s="2" t="n">
        <v>28</v>
      </c>
      <c r="M42" s="2" t="str">
        <f aca="false">IF($H42="Outstanding",MAX(0,Summary!$B$3-$F42),"")</f>
        <v/>
      </c>
      <c r="N42" s="2" t="str">
        <f aca="false">IF($M42="","",IF($M42=0,"Current",IF($M42&lt;=30,"1-30",IF($M42&lt;=60,"31-60",IF($M42&lt;=90,"61-90","90+")))))</f>
        <v/>
      </c>
      <c r="O42" s="4" t="n">
        <f aca="false">IF($H42="Outstanding",$G42,0)</f>
        <v>0</v>
      </c>
      <c r="P42" s="5" t="n">
        <f aca="false">$O42*IF($M42="",0,$M42)</f>
        <v>0</v>
      </c>
    </row>
    <row r="43" customFormat="false" ht="15" hidden="false" customHeight="false" outlineLevel="0" collapsed="false">
      <c r="A43" s="2" t="s">
        <v>95</v>
      </c>
      <c r="B43" s="2" t="s">
        <v>30</v>
      </c>
      <c r="C43" s="2" t="s">
        <v>31</v>
      </c>
      <c r="D43" s="3" t="n">
        <v>45769</v>
      </c>
      <c r="E43" s="2" t="n">
        <v>30</v>
      </c>
      <c r="F43" s="3" t="n">
        <v>45799</v>
      </c>
      <c r="G43" s="4" t="n">
        <v>14950</v>
      </c>
      <c r="H43" s="2" t="s">
        <v>19</v>
      </c>
      <c r="I43" s="3" t="n">
        <v>45803</v>
      </c>
      <c r="J43" s="4" t="n">
        <v>14950</v>
      </c>
      <c r="K43" s="2" t="n">
        <v>34</v>
      </c>
      <c r="L43" s="2" t="n">
        <v>4</v>
      </c>
      <c r="M43" s="2" t="str">
        <f aca="false">IF($H43="Outstanding",MAX(0,Summary!$B$3-$F43),"")</f>
        <v/>
      </c>
      <c r="N43" s="2" t="str">
        <f aca="false">IF($M43="","",IF($M43=0,"Current",IF($M43&lt;=30,"1-30",IF($M43&lt;=60,"31-60",IF($M43&lt;=90,"61-90","90+")))))</f>
        <v/>
      </c>
      <c r="O43" s="4" t="n">
        <f aca="false">IF($H43="Outstanding",$G43,0)</f>
        <v>0</v>
      </c>
      <c r="P43" s="5" t="n">
        <f aca="false">$O43*IF($M43="",0,$M43)</f>
        <v>0</v>
      </c>
    </row>
    <row r="44" customFormat="false" ht="15" hidden="false" customHeight="false" outlineLevel="0" collapsed="false">
      <c r="A44" s="2" t="s">
        <v>96</v>
      </c>
      <c r="B44" s="2" t="s">
        <v>63</v>
      </c>
      <c r="C44" s="2" t="s">
        <v>64</v>
      </c>
      <c r="D44" s="3" t="n">
        <v>45750</v>
      </c>
      <c r="E44" s="2" t="n">
        <v>15</v>
      </c>
      <c r="F44" s="3" t="n">
        <v>45765</v>
      </c>
      <c r="G44" s="4" t="n">
        <v>5650</v>
      </c>
      <c r="H44" s="2" t="s">
        <v>19</v>
      </c>
      <c r="I44" s="3" t="n">
        <v>45765</v>
      </c>
      <c r="J44" s="4" t="n">
        <v>5650</v>
      </c>
      <c r="K44" s="2" t="n">
        <v>15</v>
      </c>
      <c r="L44" s="2" t="n">
        <v>0</v>
      </c>
      <c r="M44" s="2" t="str">
        <f aca="false">IF($H44="Outstanding",MAX(0,Summary!$B$3-$F44),"")</f>
        <v/>
      </c>
      <c r="N44" s="2" t="str">
        <f aca="false">IF($M44="","",IF($M44=0,"Current",IF($M44&lt;=30,"1-30",IF($M44&lt;=60,"31-60",IF($M44&lt;=90,"61-90","90+")))))</f>
        <v/>
      </c>
      <c r="O44" s="4" t="n">
        <f aca="false">IF($H44="Outstanding",$G44,0)</f>
        <v>0</v>
      </c>
      <c r="P44" s="5" t="n">
        <f aca="false">$O44*IF($M44="",0,$M44)</f>
        <v>0</v>
      </c>
    </row>
    <row r="45" customFormat="false" ht="15" hidden="false" customHeight="false" outlineLevel="0" collapsed="false">
      <c r="A45" s="2" t="s">
        <v>97</v>
      </c>
      <c r="B45" s="2" t="s">
        <v>88</v>
      </c>
      <c r="C45" s="2" t="s">
        <v>89</v>
      </c>
      <c r="D45" s="3" t="n">
        <v>45768</v>
      </c>
      <c r="E45" s="2" t="n">
        <v>30</v>
      </c>
      <c r="F45" s="3" t="n">
        <v>45798</v>
      </c>
      <c r="G45" s="4" t="n">
        <v>8700</v>
      </c>
      <c r="H45" s="2" t="s">
        <v>19</v>
      </c>
      <c r="I45" s="3" t="n">
        <v>45805</v>
      </c>
      <c r="J45" s="4" t="n">
        <v>8700</v>
      </c>
      <c r="K45" s="2" t="n">
        <v>37</v>
      </c>
      <c r="L45" s="2" t="n">
        <v>7</v>
      </c>
      <c r="M45" s="2" t="str">
        <f aca="false">IF($H45="Outstanding",MAX(0,Summary!$B$3-$F45),"")</f>
        <v/>
      </c>
      <c r="N45" s="2" t="str">
        <f aca="false">IF($M45="","",IF($M45=0,"Current",IF($M45&lt;=30,"1-30",IF($M45&lt;=60,"31-60",IF($M45&lt;=90,"61-90","90+")))))</f>
        <v/>
      </c>
      <c r="O45" s="4" t="n">
        <f aca="false">IF($H45="Outstanding",$G45,0)</f>
        <v>0</v>
      </c>
      <c r="P45" s="5" t="n">
        <f aca="false">$O45*IF($M45="",0,$M45)</f>
        <v>0</v>
      </c>
    </row>
    <row r="46" customFormat="false" ht="15" hidden="false" customHeight="false" outlineLevel="0" collapsed="false">
      <c r="A46" s="2" t="s">
        <v>98</v>
      </c>
      <c r="B46" s="2" t="s">
        <v>37</v>
      </c>
      <c r="C46" s="2" t="s">
        <v>38</v>
      </c>
      <c r="D46" s="3" t="n">
        <v>45770</v>
      </c>
      <c r="E46" s="2" t="n">
        <v>30</v>
      </c>
      <c r="F46" s="3" t="n">
        <v>45800</v>
      </c>
      <c r="G46" s="4" t="n">
        <v>3750</v>
      </c>
      <c r="H46" s="2" t="s">
        <v>19</v>
      </c>
      <c r="I46" s="3" t="n">
        <v>45821</v>
      </c>
      <c r="J46" s="4" t="n">
        <v>3750</v>
      </c>
      <c r="K46" s="2" t="n">
        <v>51</v>
      </c>
      <c r="L46" s="2" t="n">
        <v>21</v>
      </c>
      <c r="M46" s="2" t="str">
        <f aca="false">IF($H46="Outstanding",MAX(0,Summary!$B$3-$F46),"")</f>
        <v/>
      </c>
      <c r="N46" s="2" t="str">
        <f aca="false">IF($M46="","",IF($M46=0,"Current",IF($M46&lt;=30,"1-30",IF($M46&lt;=60,"31-60",IF($M46&lt;=90,"61-90","90+")))))</f>
        <v/>
      </c>
      <c r="O46" s="4" t="n">
        <f aca="false">IF($H46="Outstanding",$G46,0)</f>
        <v>0</v>
      </c>
      <c r="P46" s="5" t="n">
        <f aca="false">$O46*IF($M46="",0,$M46)</f>
        <v>0</v>
      </c>
    </row>
    <row r="47" customFormat="false" ht="15" hidden="false" customHeight="false" outlineLevel="0" collapsed="false">
      <c r="A47" s="2" t="s">
        <v>99</v>
      </c>
      <c r="B47" s="2" t="s">
        <v>40</v>
      </c>
      <c r="C47" s="2" t="s">
        <v>41</v>
      </c>
      <c r="D47" s="3" t="n">
        <v>45761</v>
      </c>
      <c r="E47" s="2" t="n">
        <v>30</v>
      </c>
      <c r="F47" s="3" t="n">
        <v>45791</v>
      </c>
      <c r="G47" s="4" t="n">
        <v>21350</v>
      </c>
      <c r="H47" s="2" t="s">
        <v>19</v>
      </c>
      <c r="I47" s="3" t="n">
        <v>45824</v>
      </c>
      <c r="J47" s="4" t="n">
        <v>21350</v>
      </c>
      <c r="K47" s="2" t="n">
        <v>63</v>
      </c>
      <c r="L47" s="2" t="n">
        <v>31</v>
      </c>
      <c r="M47" s="2" t="str">
        <f aca="false">IF($H47="Outstanding",MAX(0,Summary!$B$3-$F47),"")</f>
        <v/>
      </c>
      <c r="N47" s="2" t="str">
        <f aca="false">IF($M47="","",IF($M47=0,"Current",IF($M47&lt;=30,"1-30",IF($M47&lt;=60,"31-60",IF($M47&lt;=90,"61-90","90+")))))</f>
        <v/>
      </c>
      <c r="O47" s="4" t="n">
        <f aca="false">IF($H47="Outstanding",$G47,0)</f>
        <v>0</v>
      </c>
      <c r="P47" s="5" t="n">
        <f aca="false">$O47*IF($M47="",0,$M47)</f>
        <v>0</v>
      </c>
    </row>
    <row r="48" customFormat="false" ht="15" hidden="false" customHeight="false" outlineLevel="0" collapsed="false">
      <c r="A48" s="2" t="s">
        <v>100</v>
      </c>
      <c r="B48" s="2" t="s">
        <v>55</v>
      </c>
      <c r="C48" s="2" t="s">
        <v>56</v>
      </c>
      <c r="D48" s="3" t="n">
        <v>45782</v>
      </c>
      <c r="E48" s="2" t="n">
        <v>30</v>
      </c>
      <c r="F48" s="3" t="n">
        <v>45812</v>
      </c>
      <c r="G48" s="4" t="n">
        <v>5600</v>
      </c>
      <c r="H48" s="2" t="s">
        <v>19</v>
      </c>
      <c r="I48" s="3" t="n">
        <v>45819</v>
      </c>
      <c r="J48" s="4" t="n">
        <v>5600</v>
      </c>
      <c r="K48" s="2" t="n">
        <v>37</v>
      </c>
      <c r="L48" s="2" t="n">
        <v>7</v>
      </c>
      <c r="M48" s="2" t="str">
        <f aca="false">IF($H48="Outstanding",MAX(0,Summary!$B$3-$F48),"")</f>
        <v/>
      </c>
      <c r="N48" s="2" t="str">
        <f aca="false">IF($M48="","",IF($M48=0,"Current",IF($M48&lt;=30,"1-30",IF($M48&lt;=60,"31-60",IF($M48&lt;=90,"61-90","90+")))))</f>
        <v/>
      </c>
      <c r="O48" s="4" t="n">
        <f aca="false">IF($H48="Outstanding",$G48,0)</f>
        <v>0</v>
      </c>
      <c r="P48" s="5" t="n">
        <f aca="false">$O48*IF($M48="",0,$M48)</f>
        <v>0</v>
      </c>
    </row>
    <row r="49" customFormat="false" ht="15" hidden="false" customHeight="false" outlineLevel="0" collapsed="false">
      <c r="A49" s="2" t="s">
        <v>101</v>
      </c>
      <c r="B49" s="2" t="s">
        <v>24</v>
      </c>
      <c r="C49" s="2" t="s">
        <v>25</v>
      </c>
      <c r="D49" s="3" t="n">
        <v>45800</v>
      </c>
      <c r="E49" s="2" t="n">
        <v>30</v>
      </c>
      <c r="F49" s="3" t="n">
        <v>45830</v>
      </c>
      <c r="G49" s="4" t="n">
        <v>3050</v>
      </c>
      <c r="H49" s="2" t="s">
        <v>19</v>
      </c>
      <c r="I49" s="3" t="n">
        <v>45870</v>
      </c>
      <c r="J49" s="4" t="n">
        <v>3050</v>
      </c>
      <c r="K49" s="2" t="n">
        <v>70</v>
      </c>
      <c r="L49" s="2" t="n">
        <v>40</v>
      </c>
      <c r="M49" s="2" t="str">
        <f aca="false">IF($H49="Outstanding",MAX(0,Summary!$B$3-$F49),"")</f>
        <v/>
      </c>
      <c r="N49" s="2" t="str">
        <f aca="false">IF($M49="","",IF($M49=0,"Current",IF($M49&lt;=30,"1-30",IF($M49&lt;=60,"31-60",IF($M49&lt;=90,"61-90","90+")))))</f>
        <v/>
      </c>
      <c r="O49" s="4" t="n">
        <f aca="false">IF($H49="Outstanding",$G49,0)</f>
        <v>0</v>
      </c>
      <c r="P49" s="5" t="n">
        <f aca="false">$O49*IF($M49="",0,$M49)</f>
        <v>0</v>
      </c>
    </row>
    <row r="50" customFormat="false" ht="15" hidden="false" customHeight="false" outlineLevel="0" collapsed="false">
      <c r="A50" s="2" t="s">
        <v>102</v>
      </c>
      <c r="B50" s="2" t="s">
        <v>52</v>
      </c>
      <c r="C50" s="2" t="s">
        <v>53</v>
      </c>
      <c r="D50" s="3" t="n">
        <v>45799</v>
      </c>
      <c r="E50" s="2" t="n">
        <v>30</v>
      </c>
      <c r="F50" s="3" t="n">
        <v>45829</v>
      </c>
      <c r="G50" s="4" t="n">
        <v>6250</v>
      </c>
      <c r="H50" s="2" t="s">
        <v>19</v>
      </c>
      <c r="I50" s="3" t="n">
        <v>45866</v>
      </c>
      <c r="J50" s="4" t="n">
        <v>6250</v>
      </c>
      <c r="K50" s="2" t="n">
        <v>67</v>
      </c>
      <c r="L50" s="2" t="n">
        <v>35</v>
      </c>
      <c r="M50" s="2" t="str">
        <f aca="false">IF($H50="Outstanding",MAX(0,Summary!$B$3-$F50),"")</f>
        <v/>
      </c>
      <c r="N50" s="2" t="str">
        <f aca="false">IF($M50="","",IF($M50=0,"Current",IF($M50&lt;=30,"1-30",IF($M50&lt;=60,"31-60",IF($M50&lt;=90,"61-90","90+")))))</f>
        <v/>
      </c>
      <c r="O50" s="4" t="n">
        <f aca="false">IF($H50="Outstanding",$G50,0)</f>
        <v>0</v>
      </c>
      <c r="P50" s="5" t="n">
        <f aca="false">$O50*IF($M50="",0,$M50)</f>
        <v>0</v>
      </c>
    </row>
    <row r="51" customFormat="false" ht="15" hidden="false" customHeight="false" outlineLevel="0" collapsed="false">
      <c r="A51" s="2" t="s">
        <v>103</v>
      </c>
      <c r="B51" s="2" t="s">
        <v>52</v>
      </c>
      <c r="C51" s="2" t="s">
        <v>53</v>
      </c>
      <c r="D51" s="3" t="n">
        <v>45803</v>
      </c>
      <c r="E51" s="2" t="n">
        <v>30</v>
      </c>
      <c r="F51" s="3" t="n">
        <v>45833</v>
      </c>
      <c r="G51" s="4" t="n">
        <v>9550</v>
      </c>
      <c r="H51" s="2" t="s">
        <v>19</v>
      </c>
      <c r="I51" s="3" t="n">
        <v>45859</v>
      </c>
      <c r="J51" s="4" t="n">
        <v>9550</v>
      </c>
      <c r="K51" s="2" t="n">
        <v>56</v>
      </c>
      <c r="L51" s="2" t="n">
        <v>24</v>
      </c>
      <c r="M51" s="2" t="str">
        <f aca="false">IF($H51="Outstanding",MAX(0,Summary!$B$3-$F51),"")</f>
        <v/>
      </c>
      <c r="N51" s="2" t="str">
        <f aca="false">IF($M51="","",IF($M51=0,"Current",IF($M51&lt;=30,"1-30",IF($M51&lt;=60,"31-60",IF($M51&lt;=90,"61-90","90+")))))</f>
        <v/>
      </c>
      <c r="O51" s="4" t="n">
        <f aca="false">IF($H51="Outstanding",$G51,0)</f>
        <v>0</v>
      </c>
      <c r="P51" s="5" t="n">
        <f aca="false">$O51*IF($M51="",0,$M51)</f>
        <v>0</v>
      </c>
    </row>
    <row r="52" customFormat="false" ht="15" hidden="false" customHeight="false" outlineLevel="0" collapsed="false">
      <c r="A52" s="2" t="s">
        <v>104</v>
      </c>
      <c r="B52" s="2" t="s">
        <v>37</v>
      </c>
      <c r="C52" s="2" t="s">
        <v>38</v>
      </c>
      <c r="D52" s="3" t="n">
        <v>45779</v>
      </c>
      <c r="E52" s="2" t="n">
        <v>30</v>
      </c>
      <c r="F52" s="3" t="n">
        <v>45809</v>
      </c>
      <c r="G52" s="4" t="n">
        <v>8800</v>
      </c>
      <c r="H52" s="2" t="s">
        <v>19</v>
      </c>
      <c r="I52" s="3" t="n">
        <v>45828</v>
      </c>
      <c r="J52" s="4" t="n">
        <v>8800</v>
      </c>
      <c r="K52" s="2" t="n">
        <v>49</v>
      </c>
      <c r="L52" s="2" t="n">
        <v>19</v>
      </c>
      <c r="M52" s="2" t="str">
        <f aca="false">IF($H52="Outstanding",MAX(0,Summary!$B$3-$F52),"")</f>
        <v/>
      </c>
      <c r="N52" s="2" t="str">
        <f aca="false">IF($M52="","",IF($M52=0,"Current",IF($M52&lt;=30,"1-30",IF($M52&lt;=60,"31-60",IF($M52&lt;=90,"61-90","90+")))))</f>
        <v/>
      </c>
      <c r="O52" s="4" t="n">
        <f aca="false">IF($H52="Outstanding",$G52,0)</f>
        <v>0</v>
      </c>
      <c r="P52" s="5" t="n">
        <f aca="false">$O52*IF($M52="",0,$M52)</f>
        <v>0</v>
      </c>
    </row>
    <row r="53" customFormat="false" ht="15" hidden="false" customHeight="false" outlineLevel="0" collapsed="false">
      <c r="A53" s="2" t="s">
        <v>105</v>
      </c>
      <c r="B53" s="2" t="s">
        <v>33</v>
      </c>
      <c r="C53" s="2" t="s">
        <v>34</v>
      </c>
      <c r="D53" s="3" t="n">
        <v>45789</v>
      </c>
      <c r="E53" s="2" t="n">
        <v>15</v>
      </c>
      <c r="F53" s="3" t="n">
        <v>45804</v>
      </c>
      <c r="G53" s="4" t="n">
        <v>18200</v>
      </c>
      <c r="H53" s="2" t="s">
        <v>19</v>
      </c>
      <c r="I53" s="3" t="n">
        <v>45804</v>
      </c>
      <c r="J53" s="4" t="n">
        <v>18200</v>
      </c>
      <c r="K53" s="2" t="n">
        <v>15</v>
      </c>
      <c r="L53" s="2" t="n">
        <v>0</v>
      </c>
      <c r="M53" s="2" t="str">
        <f aca="false">IF($H53="Outstanding",MAX(0,Summary!$B$3-$F53),"")</f>
        <v/>
      </c>
      <c r="N53" s="2" t="str">
        <f aca="false">IF($M53="","",IF($M53=0,"Current",IF($M53&lt;=30,"1-30",IF($M53&lt;=60,"31-60",IF($M53&lt;=90,"61-90","90+")))))</f>
        <v/>
      </c>
      <c r="O53" s="4" t="n">
        <f aca="false">IF($H53="Outstanding",$G53,0)</f>
        <v>0</v>
      </c>
      <c r="P53" s="5" t="n">
        <f aca="false">$O53*IF($M53="",0,$M53)</f>
        <v>0</v>
      </c>
    </row>
    <row r="54" customFormat="false" ht="15" hidden="false" customHeight="false" outlineLevel="0" collapsed="false">
      <c r="A54" s="2" t="s">
        <v>106</v>
      </c>
      <c r="B54" s="2" t="s">
        <v>47</v>
      </c>
      <c r="C54" s="2" t="s">
        <v>48</v>
      </c>
      <c r="D54" s="3" t="n">
        <v>45785</v>
      </c>
      <c r="E54" s="2" t="n">
        <v>15</v>
      </c>
      <c r="F54" s="3" t="n">
        <v>45800</v>
      </c>
      <c r="G54" s="4" t="n">
        <v>3050</v>
      </c>
      <c r="H54" s="2" t="s">
        <v>19</v>
      </c>
      <c r="I54" s="3" t="n">
        <v>45800</v>
      </c>
      <c r="J54" s="4" t="n">
        <v>3050</v>
      </c>
      <c r="K54" s="2" t="n">
        <v>15</v>
      </c>
      <c r="L54" s="2" t="n">
        <v>0</v>
      </c>
      <c r="M54" s="2" t="str">
        <f aca="false">IF($H54="Outstanding",MAX(0,Summary!$B$3-$F54),"")</f>
        <v/>
      </c>
      <c r="N54" s="2" t="str">
        <f aca="false">IF($M54="","",IF($M54=0,"Current",IF($M54&lt;=30,"1-30",IF($M54&lt;=60,"31-60",IF($M54&lt;=90,"61-90","90+")))))</f>
        <v/>
      </c>
      <c r="O54" s="4" t="n">
        <f aca="false">IF($H54="Outstanding",$G54,0)</f>
        <v>0</v>
      </c>
      <c r="P54" s="5" t="n">
        <f aca="false">$O54*IF($M54="",0,$M54)</f>
        <v>0</v>
      </c>
    </row>
    <row r="55" customFormat="false" ht="15" hidden="false" customHeight="false" outlineLevel="0" collapsed="false">
      <c r="A55" s="2" t="s">
        <v>107</v>
      </c>
      <c r="B55" s="2" t="s">
        <v>77</v>
      </c>
      <c r="C55" s="2" t="s">
        <v>78</v>
      </c>
      <c r="D55" s="3" t="n">
        <v>45797</v>
      </c>
      <c r="E55" s="2" t="n">
        <v>30</v>
      </c>
      <c r="F55" s="3" t="n">
        <v>45827</v>
      </c>
      <c r="G55" s="4" t="n">
        <v>15500</v>
      </c>
      <c r="H55" s="2" t="s">
        <v>19</v>
      </c>
      <c r="I55" s="3" t="n">
        <v>45841</v>
      </c>
      <c r="J55" s="4" t="n">
        <v>15500</v>
      </c>
      <c r="K55" s="2" t="n">
        <v>44</v>
      </c>
      <c r="L55" s="2" t="n">
        <v>14</v>
      </c>
      <c r="M55" s="2" t="str">
        <f aca="false">IF($H55="Outstanding",MAX(0,Summary!$B$3-$F55),"")</f>
        <v/>
      </c>
      <c r="N55" s="2" t="str">
        <f aca="false">IF($M55="","",IF($M55=0,"Current",IF($M55&lt;=30,"1-30",IF($M55&lt;=60,"31-60",IF($M55&lt;=90,"61-90","90+")))))</f>
        <v/>
      </c>
      <c r="O55" s="4" t="n">
        <f aca="false">IF($H55="Outstanding",$G55,0)</f>
        <v>0</v>
      </c>
      <c r="P55" s="5" t="n">
        <f aca="false">$O55*IF($M55="",0,$M55)</f>
        <v>0</v>
      </c>
    </row>
    <row r="56" customFormat="false" ht="15" hidden="false" customHeight="false" outlineLevel="0" collapsed="false">
      <c r="A56" s="2" t="s">
        <v>108</v>
      </c>
      <c r="B56" s="2" t="s">
        <v>55</v>
      </c>
      <c r="C56" s="2" t="s">
        <v>56</v>
      </c>
      <c r="D56" s="3" t="n">
        <v>45803</v>
      </c>
      <c r="E56" s="2" t="n">
        <v>30</v>
      </c>
      <c r="F56" s="3" t="n">
        <v>45833</v>
      </c>
      <c r="G56" s="4" t="n">
        <v>10950</v>
      </c>
      <c r="H56" s="2" t="s">
        <v>19</v>
      </c>
      <c r="I56" s="3" t="n">
        <v>45841</v>
      </c>
      <c r="J56" s="4" t="n">
        <v>10950</v>
      </c>
      <c r="K56" s="2" t="n">
        <v>38</v>
      </c>
      <c r="L56" s="2" t="n">
        <v>8</v>
      </c>
      <c r="M56" s="2" t="str">
        <f aca="false">IF($H56="Outstanding",MAX(0,Summary!$B$3-$F56),"")</f>
        <v/>
      </c>
      <c r="N56" s="2" t="str">
        <f aca="false">IF($M56="","",IF($M56=0,"Current",IF($M56&lt;=30,"1-30",IF($M56&lt;=60,"31-60",IF($M56&lt;=90,"61-90","90+")))))</f>
        <v/>
      </c>
      <c r="O56" s="4" t="n">
        <f aca="false">IF($H56="Outstanding",$G56,0)</f>
        <v>0</v>
      </c>
      <c r="P56" s="5" t="n">
        <f aca="false">$O56*IF($M56="",0,$M56)</f>
        <v>0</v>
      </c>
    </row>
    <row r="57" customFormat="false" ht="15" hidden="false" customHeight="false" outlineLevel="0" collapsed="false">
      <c r="A57" s="2" t="s">
        <v>109</v>
      </c>
      <c r="B57" s="2" t="s">
        <v>63</v>
      </c>
      <c r="C57" s="2" t="s">
        <v>64</v>
      </c>
      <c r="D57" s="3" t="n">
        <v>45798</v>
      </c>
      <c r="E57" s="2" t="n">
        <v>15</v>
      </c>
      <c r="F57" s="3" t="n">
        <v>45813</v>
      </c>
      <c r="G57" s="4" t="n">
        <v>3750</v>
      </c>
      <c r="H57" s="2" t="s">
        <v>19</v>
      </c>
      <c r="I57" s="3" t="n">
        <v>45812</v>
      </c>
      <c r="J57" s="4" t="n">
        <v>3750</v>
      </c>
      <c r="K57" s="2" t="n">
        <v>14</v>
      </c>
      <c r="L57" s="2" t="n">
        <v>-1</v>
      </c>
      <c r="M57" s="2" t="str">
        <f aca="false">IF($H57="Outstanding",MAX(0,Summary!$B$3-$F57),"")</f>
        <v/>
      </c>
      <c r="N57" s="2" t="str">
        <f aca="false">IF($M57="","",IF($M57=0,"Current",IF($M57&lt;=30,"1-30",IF($M57&lt;=60,"31-60",IF($M57&lt;=90,"61-90","90+")))))</f>
        <v/>
      </c>
      <c r="O57" s="4" t="n">
        <f aca="false">IF($H57="Outstanding",$G57,0)</f>
        <v>0</v>
      </c>
      <c r="P57" s="5" t="n">
        <f aca="false">$O57*IF($M57="",0,$M57)</f>
        <v>0</v>
      </c>
    </row>
    <row r="58" customFormat="false" ht="15" hidden="false" customHeight="false" outlineLevel="0" collapsed="false">
      <c r="A58" s="2" t="s">
        <v>110</v>
      </c>
      <c r="B58" s="2" t="s">
        <v>30</v>
      </c>
      <c r="C58" s="2" t="s">
        <v>31</v>
      </c>
      <c r="D58" s="3" t="n">
        <v>45798</v>
      </c>
      <c r="E58" s="2" t="n">
        <v>30</v>
      </c>
      <c r="F58" s="3" t="n">
        <v>45828</v>
      </c>
      <c r="G58" s="4" t="n">
        <v>16950</v>
      </c>
      <c r="H58" s="2" t="s">
        <v>19</v>
      </c>
      <c r="I58" s="3" t="n">
        <v>45840</v>
      </c>
      <c r="J58" s="4" t="n">
        <v>16950</v>
      </c>
      <c r="K58" s="2" t="n">
        <v>42</v>
      </c>
      <c r="L58" s="2" t="n">
        <v>12</v>
      </c>
      <c r="M58" s="2" t="str">
        <f aca="false">IF($H58="Outstanding",MAX(0,Summary!$B$3-$F58),"")</f>
        <v/>
      </c>
      <c r="N58" s="2" t="str">
        <f aca="false">IF($M58="","",IF($M58=0,"Current",IF($M58&lt;=30,"1-30",IF($M58&lt;=60,"31-60",IF($M58&lt;=90,"61-90","90+")))))</f>
        <v/>
      </c>
      <c r="O58" s="4" t="n">
        <f aca="false">IF($H58="Outstanding",$G58,0)</f>
        <v>0</v>
      </c>
      <c r="P58" s="5" t="n">
        <f aca="false">$O58*IF($M58="",0,$M58)</f>
        <v>0</v>
      </c>
    </row>
    <row r="59" customFormat="false" ht="15" hidden="false" customHeight="false" outlineLevel="0" collapsed="false">
      <c r="A59" s="2" t="s">
        <v>111</v>
      </c>
      <c r="B59" s="2" t="s">
        <v>88</v>
      </c>
      <c r="C59" s="2" t="s">
        <v>89</v>
      </c>
      <c r="D59" s="3" t="n">
        <v>45796</v>
      </c>
      <c r="E59" s="2" t="n">
        <v>30</v>
      </c>
      <c r="F59" s="3" t="n">
        <v>45826</v>
      </c>
      <c r="G59" s="4" t="n">
        <v>4250</v>
      </c>
      <c r="H59" s="2" t="s">
        <v>19</v>
      </c>
      <c r="I59" s="3" t="n">
        <v>45833</v>
      </c>
      <c r="J59" s="4" t="n">
        <v>4250</v>
      </c>
      <c r="K59" s="2" t="n">
        <v>37</v>
      </c>
      <c r="L59" s="2" t="n">
        <v>7</v>
      </c>
      <c r="M59" s="2" t="str">
        <f aca="false">IF($H59="Outstanding",MAX(0,Summary!$B$3-$F59),"")</f>
        <v/>
      </c>
      <c r="N59" s="2" t="str">
        <f aca="false">IF($M59="","",IF($M59=0,"Current",IF($M59&lt;=30,"1-30",IF($M59&lt;=60,"31-60",IF($M59&lt;=90,"61-90","90+")))))</f>
        <v/>
      </c>
      <c r="O59" s="4" t="n">
        <f aca="false">IF($H59="Outstanding",$G59,0)</f>
        <v>0</v>
      </c>
      <c r="P59" s="5" t="n">
        <f aca="false">$O59*IF($M59="",0,$M59)</f>
        <v>0</v>
      </c>
    </row>
    <row r="60" customFormat="false" ht="15" hidden="false" customHeight="false" outlineLevel="0" collapsed="false">
      <c r="A60" s="2" t="s">
        <v>112</v>
      </c>
      <c r="B60" s="2" t="s">
        <v>21</v>
      </c>
      <c r="C60" s="2" t="s">
        <v>22</v>
      </c>
      <c r="D60" s="3" t="n">
        <v>45813</v>
      </c>
      <c r="E60" s="2" t="n">
        <v>30</v>
      </c>
      <c r="F60" s="3" t="n">
        <v>45843</v>
      </c>
      <c r="G60" s="4" t="n">
        <v>6350</v>
      </c>
      <c r="H60" s="2" t="s">
        <v>19</v>
      </c>
      <c r="I60" s="3" t="n">
        <v>45873</v>
      </c>
      <c r="J60" s="4" t="n">
        <v>6350</v>
      </c>
      <c r="K60" s="2" t="n">
        <v>60</v>
      </c>
      <c r="L60" s="2" t="n">
        <v>30</v>
      </c>
      <c r="M60" s="2" t="str">
        <f aca="false">IF($H60="Outstanding",MAX(0,Summary!$B$3-$F60),"")</f>
        <v/>
      </c>
      <c r="N60" s="2" t="str">
        <f aca="false">IF($M60="","",IF($M60=0,"Current",IF($M60&lt;=30,"1-30",IF($M60&lt;=60,"31-60",IF($M60&lt;=90,"61-90","90+")))))</f>
        <v/>
      </c>
      <c r="O60" s="4" t="n">
        <f aca="false">IF($H60="Outstanding",$G60,0)</f>
        <v>0</v>
      </c>
      <c r="P60" s="5" t="n">
        <f aca="false">$O60*IF($M60="",0,$M60)</f>
        <v>0</v>
      </c>
    </row>
    <row r="61" customFormat="false" ht="15" hidden="false" customHeight="false" outlineLevel="0" collapsed="false">
      <c r="A61" s="2" t="s">
        <v>113</v>
      </c>
      <c r="B61" s="2" t="s">
        <v>47</v>
      </c>
      <c r="C61" s="2" t="s">
        <v>48</v>
      </c>
      <c r="D61" s="3" t="n">
        <v>45814</v>
      </c>
      <c r="E61" s="2" t="n">
        <v>15</v>
      </c>
      <c r="F61" s="3" t="n">
        <v>45829</v>
      </c>
      <c r="G61" s="4" t="n">
        <v>1550</v>
      </c>
      <c r="H61" s="2" t="s">
        <v>19</v>
      </c>
      <c r="I61" s="3" t="n">
        <v>45834</v>
      </c>
      <c r="J61" s="4" t="n">
        <v>1550</v>
      </c>
      <c r="K61" s="2" t="n">
        <v>20</v>
      </c>
      <c r="L61" s="2" t="n">
        <v>5</v>
      </c>
      <c r="M61" s="2" t="str">
        <f aca="false">IF($H61="Outstanding",MAX(0,Summary!$B$3-$F61),"")</f>
        <v/>
      </c>
      <c r="N61" s="2" t="str">
        <f aca="false">IF($M61="","",IF($M61=0,"Current",IF($M61&lt;=30,"1-30",IF($M61&lt;=60,"31-60",IF($M61&lt;=90,"61-90","90+")))))</f>
        <v/>
      </c>
      <c r="O61" s="4" t="n">
        <f aca="false">IF($H61="Outstanding",$G61,0)</f>
        <v>0</v>
      </c>
      <c r="P61" s="5" t="n">
        <f aca="false">$O61*IF($M61="",0,$M61)</f>
        <v>0</v>
      </c>
    </row>
    <row r="62" customFormat="false" ht="15" hidden="false" customHeight="false" outlineLevel="0" collapsed="false">
      <c r="A62" s="2" t="s">
        <v>114</v>
      </c>
      <c r="B62" s="2" t="s">
        <v>30</v>
      </c>
      <c r="C62" s="2" t="s">
        <v>31</v>
      </c>
      <c r="D62" s="3" t="n">
        <v>45826</v>
      </c>
      <c r="E62" s="2" t="n">
        <v>30</v>
      </c>
      <c r="F62" s="3" t="n">
        <v>45856</v>
      </c>
      <c r="G62" s="4" t="n">
        <v>21550</v>
      </c>
      <c r="H62" s="2" t="s">
        <v>19</v>
      </c>
      <c r="I62" s="3" t="n">
        <v>45866</v>
      </c>
      <c r="J62" s="4" t="n">
        <v>21550</v>
      </c>
      <c r="K62" s="2" t="n">
        <v>40</v>
      </c>
      <c r="L62" s="2" t="n">
        <v>10</v>
      </c>
      <c r="M62" s="2" t="str">
        <f aca="false">IF($H62="Outstanding",MAX(0,Summary!$B$3-$F62),"")</f>
        <v/>
      </c>
      <c r="N62" s="2" t="str">
        <f aca="false">IF($M62="","",IF($M62=0,"Current",IF($M62&lt;=30,"1-30",IF($M62&lt;=60,"31-60",IF($M62&lt;=90,"61-90","90+")))))</f>
        <v/>
      </c>
      <c r="O62" s="4" t="n">
        <f aca="false">IF($H62="Outstanding",$G62,0)</f>
        <v>0</v>
      </c>
      <c r="P62" s="5" t="n">
        <f aca="false">$O62*IF($M62="",0,$M62)</f>
        <v>0</v>
      </c>
    </row>
    <row r="63" customFormat="false" ht="15" hidden="false" customHeight="false" outlineLevel="0" collapsed="false">
      <c r="A63" s="2" t="s">
        <v>115</v>
      </c>
      <c r="B63" s="2" t="s">
        <v>47</v>
      </c>
      <c r="C63" s="2" t="s">
        <v>48</v>
      </c>
      <c r="D63" s="3" t="n">
        <v>45817</v>
      </c>
      <c r="E63" s="2" t="n">
        <v>15</v>
      </c>
      <c r="F63" s="3" t="n">
        <v>45832</v>
      </c>
      <c r="G63" s="4" t="n">
        <v>3850</v>
      </c>
      <c r="H63" s="2" t="s">
        <v>19</v>
      </c>
      <c r="I63" s="3" t="n">
        <v>45835</v>
      </c>
      <c r="J63" s="4" t="n">
        <v>3850</v>
      </c>
      <c r="K63" s="2" t="n">
        <v>18</v>
      </c>
      <c r="L63" s="2" t="n">
        <v>3</v>
      </c>
      <c r="M63" s="2" t="str">
        <f aca="false">IF($H63="Outstanding",MAX(0,Summary!$B$3-$F63),"")</f>
        <v/>
      </c>
      <c r="N63" s="2" t="str">
        <f aca="false">IF($M63="","",IF($M63=0,"Current",IF($M63&lt;=30,"1-30",IF($M63&lt;=60,"31-60",IF($M63&lt;=90,"61-90","90+")))))</f>
        <v/>
      </c>
      <c r="O63" s="4" t="n">
        <f aca="false">IF($H63="Outstanding",$G63,0)</f>
        <v>0</v>
      </c>
      <c r="P63" s="5" t="n">
        <f aca="false">$O63*IF($M63="",0,$M63)</f>
        <v>0</v>
      </c>
    </row>
    <row r="64" customFormat="false" ht="15" hidden="false" customHeight="false" outlineLevel="0" collapsed="false">
      <c r="A64" s="2" t="s">
        <v>116</v>
      </c>
      <c r="B64" s="2" t="s">
        <v>88</v>
      </c>
      <c r="C64" s="2" t="s">
        <v>89</v>
      </c>
      <c r="D64" s="3" t="n">
        <v>45817</v>
      </c>
      <c r="E64" s="2" t="n">
        <v>30</v>
      </c>
      <c r="F64" s="3" t="n">
        <v>45847</v>
      </c>
      <c r="G64" s="4" t="n">
        <v>8350</v>
      </c>
      <c r="H64" s="2" t="s">
        <v>19</v>
      </c>
      <c r="I64" s="3" t="n">
        <v>45859</v>
      </c>
      <c r="J64" s="4" t="n">
        <v>8350</v>
      </c>
      <c r="K64" s="2" t="n">
        <v>42</v>
      </c>
      <c r="L64" s="2" t="n">
        <v>11</v>
      </c>
      <c r="M64" s="2" t="str">
        <f aca="false">IF($H64="Outstanding",MAX(0,Summary!$B$3-$F64),"")</f>
        <v/>
      </c>
      <c r="N64" s="2" t="str">
        <f aca="false">IF($M64="","",IF($M64=0,"Current",IF($M64&lt;=30,"1-30",IF($M64&lt;=60,"31-60",IF($M64&lt;=90,"61-90","90+")))))</f>
        <v/>
      </c>
      <c r="O64" s="4" t="n">
        <f aca="false">IF($H64="Outstanding",$G64,0)</f>
        <v>0</v>
      </c>
      <c r="P64" s="5" t="n">
        <f aca="false">$O64*IF($M64="",0,$M64)</f>
        <v>0</v>
      </c>
    </row>
    <row r="65" customFormat="false" ht="15" hidden="false" customHeight="false" outlineLevel="0" collapsed="false">
      <c r="A65" s="2" t="s">
        <v>117</v>
      </c>
      <c r="B65" s="2" t="s">
        <v>27</v>
      </c>
      <c r="C65" s="2" t="s">
        <v>28</v>
      </c>
      <c r="D65" s="3" t="n">
        <v>45818</v>
      </c>
      <c r="E65" s="2" t="n">
        <v>45</v>
      </c>
      <c r="F65" s="3" t="n">
        <v>45863</v>
      </c>
      <c r="G65" s="4" t="n">
        <v>29400</v>
      </c>
      <c r="H65" s="2" t="s">
        <v>19</v>
      </c>
      <c r="I65" s="3" t="n">
        <v>45880</v>
      </c>
      <c r="J65" s="4" t="n">
        <v>29400</v>
      </c>
      <c r="K65" s="2" t="n">
        <v>62</v>
      </c>
      <c r="L65" s="2" t="n">
        <v>17</v>
      </c>
      <c r="M65" s="2" t="str">
        <f aca="false">IF($H65="Outstanding",MAX(0,Summary!$B$3-$F65),"")</f>
        <v/>
      </c>
      <c r="N65" s="2" t="str">
        <f aca="false">IF($M65="","",IF($M65=0,"Current",IF($M65&lt;=30,"1-30",IF($M65&lt;=60,"31-60",IF($M65&lt;=90,"61-90","90+")))))</f>
        <v/>
      </c>
      <c r="O65" s="4" t="n">
        <f aca="false">IF($H65="Outstanding",$G65,0)</f>
        <v>0</v>
      </c>
      <c r="P65" s="5" t="n">
        <f aca="false">$O65*IF($M65="",0,$M65)</f>
        <v>0</v>
      </c>
    </row>
    <row r="66" customFormat="false" ht="15" hidden="false" customHeight="false" outlineLevel="0" collapsed="false">
      <c r="A66" s="2" t="s">
        <v>118</v>
      </c>
      <c r="B66" s="2" t="s">
        <v>24</v>
      </c>
      <c r="C66" s="2" t="s">
        <v>25</v>
      </c>
      <c r="D66" s="3" t="n">
        <v>45819</v>
      </c>
      <c r="E66" s="2" t="n">
        <v>30</v>
      </c>
      <c r="F66" s="3" t="n">
        <v>45849</v>
      </c>
      <c r="G66" s="4" t="n">
        <v>6250</v>
      </c>
      <c r="H66" s="2" t="s">
        <v>19</v>
      </c>
      <c r="I66" s="3" t="n">
        <v>45890</v>
      </c>
      <c r="J66" s="4" t="n">
        <v>6250</v>
      </c>
      <c r="K66" s="2" t="n">
        <v>71</v>
      </c>
      <c r="L66" s="2" t="n">
        <v>41</v>
      </c>
      <c r="M66" s="2" t="str">
        <f aca="false">IF($H66="Outstanding",MAX(0,Summary!$B$3-$F66),"")</f>
        <v/>
      </c>
      <c r="N66" s="2" t="str">
        <f aca="false">IF($M66="","",IF($M66=0,"Current",IF($M66&lt;=30,"1-30",IF($M66&lt;=60,"31-60",IF($M66&lt;=90,"61-90","90+")))))</f>
        <v/>
      </c>
      <c r="O66" s="4" t="n">
        <f aca="false">IF($H66="Outstanding",$G66,0)</f>
        <v>0</v>
      </c>
      <c r="P66" s="5" t="n">
        <f aca="false">$O66*IF($M66="",0,$M66)</f>
        <v>0</v>
      </c>
    </row>
    <row r="67" customFormat="false" ht="15" hidden="false" customHeight="false" outlineLevel="0" collapsed="false">
      <c r="A67" s="2" t="s">
        <v>119</v>
      </c>
      <c r="B67" s="2" t="s">
        <v>55</v>
      </c>
      <c r="C67" s="2" t="s">
        <v>56</v>
      </c>
      <c r="D67" s="3" t="n">
        <v>45833</v>
      </c>
      <c r="E67" s="2" t="n">
        <v>30</v>
      </c>
      <c r="F67" s="3" t="n">
        <v>45863</v>
      </c>
      <c r="G67" s="4" t="n">
        <v>13650</v>
      </c>
      <c r="H67" s="2" t="s">
        <v>19</v>
      </c>
      <c r="I67" s="3" t="n">
        <v>45875</v>
      </c>
      <c r="J67" s="4" t="n">
        <v>13650</v>
      </c>
      <c r="K67" s="2" t="n">
        <v>42</v>
      </c>
      <c r="L67" s="2" t="n">
        <v>12</v>
      </c>
      <c r="M67" s="2" t="str">
        <f aca="false">IF($H67="Outstanding",MAX(0,Summary!$B$3-$F67),"")</f>
        <v/>
      </c>
      <c r="N67" s="2" t="str">
        <f aca="false">IF($M67="","",IF($M67=0,"Current",IF($M67&lt;=30,"1-30",IF($M67&lt;=60,"31-60",IF($M67&lt;=90,"61-90","90+")))))</f>
        <v/>
      </c>
      <c r="O67" s="4" t="n">
        <f aca="false">IF($H67="Outstanding",$G67,0)</f>
        <v>0</v>
      </c>
      <c r="P67" s="5" t="n">
        <f aca="false">$O67*IF($M67="",0,$M67)</f>
        <v>0</v>
      </c>
    </row>
    <row r="68" customFormat="false" ht="15" hidden="false" customHeight="false" outlineLevel="0" collapsed="false">
      <c r="A68" s="2" t="s">
        <v>120</v>
      </c>
      <c r="B68" s="2" t="s">
        <v>24</v>
      </c>
      <c r="C68" s="2" t="s">
        <v>25</v>
      </c>
      <c r="D68" s="3" t="n">
        <v>45831</v>
      </c>
      <c r="E68" s="2" t="n">
        <v>30</v>
      </c>
      <c r="F68" s="3" t="n">
        <v>45861</v>
      </c>
      <c r="G68" s="4" t="n">
        <v>5750</v>
      </c>
      <c r="H68" s="2" t="s">
        <v>19</v>
      </c>
      <c r="I68" s="3" t="n">
        <v>45922</v>
      </c>
      <c r="J68" s="4" t="n">
        <v>5750</v>
      </c>
      <c r="K68" s="2" t="n">
        <v>91</v>
      </c>
      <c r="L68" s="2" t="n">
        <v>59</v>
      </c>
      <c r="M68" s="2" t="str">
        <f aca="false">IF($H68="Outstanding",MAX(0,Summary!$B$3-$F68),"")</f>
        <v/>
      </c>
      <c r="N68" s="2" t="str">
        <f aca="false">IF($M68="","",IF($M68=0,"Current",IF($M68&lt;=30,"1-30",IF($M68&lt;=60,"31-60",IF($M68&lt;=90,"61-90","90+")))))</f>
        <v/>
      </c>
      <c r="O68" s="4" t="n">
        <f aca="false">IF($H68="Outstanding",$G68,0)</f>
        <v>0</v>
      </c>
      <c r="P68" s="5" t="n">
        <f aca="false">$O68*IF($M68="",0,$M68)</f>
        <v>0</v>
      </c>
    </row>
    <row r="69" customFormat="false" ht="15" hidden="false" customHeight="false" outlineLevel="0" collapsed="false">
      <c r="A69" s="2" t="s">
        <v>121</v>
      </c>
      <c r="B69" s="2" t="s">
        <v>43</v>
      </c>
      <c r="C69" s="2" t="s">
        <v>44</v>
      </c>
      <c r="D69" s="3" t="n">
        <v>45826</v>
      </c>
      <c r="E69" s="2" t="n">
        <v>30</v>
      </c>
      <c r="F69" s="3" t="n">
        <v>45856</v>
      </c>
      <c r="G69" s="4" t="n">
        <v>18150</v>
      </c>
      <c r="H69" s="2" t="s">
        <v>19</v>
      </c>
      <c r="I69" s="3" t="n">
        <v>45866</v>
      </c>
      <c r="J69" s="4" t="n">
        <v>18150</v>
      </c>
      <c r="K69" s="2" t="n">
        <v>40</v>
      </c>
      <c r="L69" s="2" t="n">
        <v>9</v>
      </c>
      <c r="M69" s="2" t="str">
        <f aca="false">IF($H69="Outstanding",MAX(0,Summary!$B$3-$F69),"")</f>
        <v/>
      </c>
      <c r="N69" s="2" t="str">
        <f aca="false">IF($M69="","",IF($M69=0,"Current",IF($M69&lt;=30,"1-30",IF($M69&lt;=60,"31-60",IF($M69&lt;=90,"61-90","90+")))))</f>
        <v/>
      </c>
      <c r="O69" s="4" t="n">
        <f aca="false">IF($H69="Outstanding",$G69,0)</f>
        <v>0</v>
      </c>
      <c r="P69" s="5" t="n">
        <f aca="false">$O69*IF($M69="",0,$M69)</f>
        <v>0</v>
      </c>
    </row>
    <row r="70" customFormat="false" ht="15" hidden="false" customHeight="false" outlineLevel="0" collapsed="false">
      <c r="A70" s="2" t="s">
        <v>122</v>
      </c>
      <c r="B70" s="2" t="s">
        <v>33</v>
      </c>
      <c r="C70" s="2" t="s">
        <v>34</v>
      </c>
      <c r="D70" s="3" t="n">
        <v>45810</v>
      </c>
      <c r="E70" s="2" t="n">
        <v>15</v>
      </c>
      <c r="F70" s="3" t="n">
        <v>45825</v>
      </c>
      <c r="G70" s="4" t="n">
        <v>9500</v>
      </c>
      <c r="H70" s="2" t="s">
        <v>19</v>
      </c>
      <c r="I70" s="3" t="n">
        <v>45831</v>
      </c>
      <c r="J70" s="4" t="n">
        <v>9500</v>
      </c>
      <c r="K70" s="2" t="n">
        <v>21</v>
      </c>
      <c r="L70" s="2" t="n">
        <v>4</v>
      </c>
      <c r="M70" s="2" t="str">
        <f aca="false">IF($H70="Outstanding",MAX(0,Summary!$B$3-$F70),"")</f>
        <v/>
      </c>
      <c r="N70" s="2" t="str">
        <f aca="false">IF($M70="","",IF($M70=0,"Current",IF($M70&lt;=30,"1-30",IF($M70&lt;=60,"31-60",IF($M70&lt;=90,"61-90","90+")))))</f>
        <v/>
      </c>
      <c r="O70" s="4" t="n">
        <f aca="false">IF($H70="Outstanding",$G70,0)</f>
        <v>0</v>
      </c>
      <c r="P70" s="5" t="n">
        <f aca="false">$O70*IF($M70="",0,$M70)</f>
        <v>0</v>
      </c>
    </row>
    <row r="71" customFormat="false" ht="15" hidden="false" customHeight="false" outlineLevel="0" collapsed="false">
      <c r="A71" s="2" t="s">
        <v>123</v>
      </c>
      <c r="B71" s="2" t="s">
        <v>63</v>
      </c>
      <c r="C71" s="2" t="s">
        <v>64</v>
      </c>
      <c r="D71" s="3" t="n">
        <v>45832</v>
      </c>
      <c r="E71" s="2" t="n">
        <v>15</v>
      </c>
      <c r="F71" s="3" t="n">
        <v>45847</v>
      </c>
      <c r="G71" s="4" t="n">
        <v>6950</v>
      </c>
      <c r="H71" s="2" t="s">
        <v>19</v>
      </c>
      <c r="I71" s="3" t="n">
        <v>45852</v>
      </c>
      <c r="J71" s="4" t="n">
        <v>6950</v>
      </c>
      <c r="K71" s="2" t="n">
        <v>20</v>
      </c>
      <c r="L71" s="2" t="n">
        <v>3</v>
      </c>
      <c r="M71" s="2" t="str">
        <f aca="false">IF($H71="Outstanding",MAX(0,Summary!$B$3-$F71),"")</f>
        <v/>
      </c>
      <c r="N71" s="2" t="str">
        <f aca="false">IF($M71="","",IF($M71=0,"Current",IF($M71&lt;=30,"1-30",IF($M71&lt;=60,"31-60",IF($M71&lt;=90,"61-90","90+")))))</f>
        <v/>
      </c>
      <c r="O71" s="4" t="n">
        <f aca="false">IF($H71="Outstanding",$G71,0)</f>
        <v>0</v>
      </c>
      <c r="P71" s="5" t="n">
        <f aca="false">$O71*IF($M71="",0,$M71)</f>
        <v>0</v>
      </c>
    </row>
    <row r="72" customFormat="false" ht="15" hidden="false" customHeight="false" outlineLevel="0" collapsed="false">
      <c r="A72" s="2" t="s">
        <v>124</v>
      </c>
      <c r="B72" s="2" t="s">
        <v>17</v>
      </c>
      <c r="C72" s="2" t="s">
        <v>18</v>
      </c>
      <c r="D72" s="3" t="n">
        <v>45827</v>
      </c>
      <c r="E72" s="2" t="n">
        <v>30</v>
      </c>
      <c r="F72" s="3" t="n">
        <v>45857</v>
      </c>
      <c r="G72" s="4" t="n">
        <v>7950</v>
      </c>
      <c r="H72" s="2" t="s">
        <v>19</v>
      </c>
      <c r="I72" s="3" t="n">
        <v>45908</v>
      </c>
      <c r="J72" s="4" t="n">
        <v>7950</v>
      </c>
      <c r="K72" s="2" t="n">
        <v>81</v>
      </c>
      <c r="L72" s="2" t="n">
        <v>49</v>
      </c>
      <c r="M72" s="2" t="str">
        <f aca="false">IF($H72="Outstanding",MAX(0,Summary!$B$3-$F72),"")</f>
        <v/>
      </c>
      <c r="N72" s="2" t="str">
        <f aca="false">IF($M72="","",IF($M72=0,"Current",IF($M72&lt;=30,"1-30",IF($M72&lt;=60,"31-60",IF($M72&lt;=90,"61-90","90+")))))</f>
        <v/>
      </c>
      <c r="O72" s="4" t="n">
        <f aca="false">IF($H72="Outstanding",$G72,0)</f>
        <v>0</v>
      </c>
      <c r="P72" s="5" t="n">
        <f aca="false">$O72*IF($M72="",0,$M72)</f>
        <v>0</v>
      </c>
    </row>
    <row r="73" customFormat="false" ht="15" hidden="false" customHeight="false" outlineLevel="0" collapsed="false">
      <c r="A73" s="2" t="s">
        <v>125</v>
      </c>
      <c r="B73" s="2" t="s">
        <v>47</v>
      </c>
      <c r="C73" s="2" t="s">
        <v>48</v>
      </c>
      <c r="D73" s="3" t="n">
        <v>45860</v>
      </c>
      <c r="E73" s="2" t="n">
        <v>15</v>
      </c>
      <c r="F73" s="3" t="n">
        <v>45875</v>
      </c>
      <c r="G73" s="4" t="n">
        <v>1650</v>
      </c>
      <c r="H73" s="2" t="s">
        <v>19</v>
      </c>
      <c r="I73" s="3" t="n">
        <v>45875</v>
      </c>
      <c r="J73" s="4" t="n">
        <v>1650</v>
      </c>
      <c r="K73" s="2" t="n">
        <v>15</v>
      </c>
      <c r="L73" s="2" t="n">
        <v>0</v>
      </c>
      <c r="M73" s="2" t="str">
        <f aca="false">IF($H73="Outstanding",MAX(0,Summary!$B$3-$F73),"")</f>
        <v/>
      </c>
      <c r="N73" s="2" t="str">
        <f aca="false">IF($M73="","",IF($M73=0,"Current",IF($M73&lt;=30,"1-30",IF($M73&lt;=60,"31-60",IF($M73&lt;=90,"61-90","90+")))))</f>
        <v/>
      </c>
      <c r="O73" s="4" t="n">
        <f aca="false">IF($H73="Outstanding",$G73,0)</f>
        <v>0</v>
      </c>
      <c r="P73" s="5" t="n">
        <f aca="false">$O73*IF($M73="",0,$M73)</f>
        <v>0</v>
      </c>
    </row>
    <row r="74" customFormat="false" ht="15" hidden="false" customHeight="false" outlineLevel="0" collapsed="false">
      <c r="A74" s="2" t="s">
        <v>126</v>
      </c>
      <c r="B74" s="2" t="s">
        <v>27</v>
      </c>
      <c r="C74" s="2" t="s">
        <v>28</v>
      </c>
      <c r="D74" s="3" t="n">
        <v>45839</v>
      </c>
      <c r="E74" s="2" t="n">
        <v>45</v>
      </c>
      <c r="F74" s="3" t="n">
        <v>45884</v>
      </c>
      <c r="G74" s="4" t="n">
        <v>26100</v>
      </c>
      <c r="H74" s="2" t="s">
        <v>19</v>
      </c>
      <c r="I74" s="3" t="n">
        <v>45917</v>
      </c>
      <c r="J74" s="4" t="n">
        <v>26100</v>
      </c>
      <c r="K74" s="2" t="n">
        <v>78</v>
      </c>
      <c r="L74" s="2" t="n">
        <v>33</v>
      </c>
      <c r="M74" s="2" t="str">
        <f aca="false">IF($H74="Outstanding",MAX(0,Summary!$B$3-$F74),"")</f>
        <v/>
      </c>
      <c r="N74" s="2" t="str">
        <f aca="false">IF($M74="","",IF($M74=0,"Current",IF($M74&lt;=30,"1-30",IF($M74&lt;=60,"31-60",IF($M74&lt;=90,"61-90","90+")))))</f>
        <v/>
      </c>
      <c r="O74" s="4" t="n">
        <f aca="false">IF($H74="Outstanding",$G74,0)</f>
        <v>0</v>
      </c>
      <c r="P74" s="5" t="n">
        <f aca="false">$O74*IF($M74="",0,$M74)</f>
        <v>0</v>
      </c>
    </row>
    <row r="75" customFormat="false" ht="15" hidden="false" customHeight="false" outlineLevel="0" collapsed="false">
      <c r="A75" s="2" t="s">
        <v>127</v>
      </c>
      <c r="B75" s="2" t="s">
        <v>43</v>
      </c>
      <c r="C75" s="2" t="s">
        <v>44</v>
      </c>
      <c r="D75" s="3" t="n">
        <v>45859</v>
      </c>
      <c r="E75" s="2" t="n">
        <v>30</v>
      </c>
      <c r="F75" s="3" t="n">
        <v>45889</v>
      </c>
      <c r="G75" s="4" t="n">
        <v>14550</v>
      </c>
      <c r="H75" s="2" t="s">
        <v>45</v>
      </c>
      <c r="I75" s="3" t="n">
        <v>45898</v>
      </c>
      <c r="J75" s="4" t="n">
        <v>14550</v>
      </c>
      <c r="K75" s="2" t="n">
        <v>39</v>
      </c>
      <c r="L75" s="2" t="n">
        <v>9</v>
      </c>
      <c r="M75" s="2" t="str">
        <f aca="false">IF($H75="Outstanding",MAX(0,Summary!$B$3-$F75),"")</f>
        <v/>
      </c>
      <c r="N75" s="2" t="str">
        <f aca="false">IF($M75="","",IF($M75=0,"Current",IF($M75&lt;=30,"1-30",IF($M75&lt;=60,"31-60",IF($M75&lt;=90,"61-90","90+")))))</f>
        <v/>
      </c>
      <c r="O75" s="4" t="n">
        <f aca="false">IF($H75="Outstanding",$G75,0)</f>
        <v>0</v>
      </c>
      <c r="P75" s="5" t="n">
        <f aca="false">$O75*IF($M75="",0,$M75)</f>
        <v>0</v>
      </c>
    </row>
    <row r="76" customFormat="false" ht="15" hidden="false" customHeight="false" outlineLevel="0" collapsed="false">
      <c r="A76" s="2" t="s">
        <v>128</v>
      </c>
      <c r="B76" s="2" t="s">
        <v>40</v>
      </c>
      <c r="C76" s="2" t="s">
        <v>41</v>
      </c>
      <c r="D76" s="3" t="n">
        <v>45853</v>
      </c>
      <c r="E76" s="2" t="n">
        <v>30</v>
      </c>
      <c r="F76" s="3" t="n">
        <v>45883</v>
      </c>
      <c r="G76" s="4" t="n">
        <v>22350</v>
      </c>
      <c r="H76" s="2" t="s">
        <v>19</v>
      </c>
      <c r="I76" s="3" t="n">
        <v>45917</v>
      </c>
      <c r="J76" s="4" t="n">
        <v>22350</v>
      </c>
      <c r="K76" s="2" t="n">
        <v>64</v>
      </c>
      <c r="L76" s="2" t="n">
        <v>34</v>
      </c>
      <c r="M76" s="2" t="str">
        <f aca="false">IF($H76="Outstanding",MAX(0,Summary!$B$3-$F76),"")</f>
        <v/>
      </c>
      <c r="N76" s="2" t="str">
        <f aca="false">IF($M76="","",IF($M76=0,"Current",IF($M76&lt;=30,"1-30",IF($M76&lt;=60,"31-60",IF($M76&lt;=90,"61-90","90+")))))</f>
        <v/>
      </c>
      <c r="O76" s="4" t="n">
        <f aca="false">IF($H76="Outstanding",$G76,0)</f>
        <v>0</v>
      </c>
      <c r="P76" s="5" t="n">
        <f aca="false">$O76*IF($M76="",0,$M76)</f>
        <v>0</v>
      </c>
    </row>
    <row r="77" customFormat="false" ht="15" hidden="false" customHeight="false" outlineLevel="0" collapsed="false">
      <c r="A77" s="2" t="s">
        <v>129</v>
      </c>
      <c r="B77" s="2" t="s">
        <v>30</v>
      </c>
      <c r="C77" s="2" t="s">
        <v>31</v>
      </c>
      <c r="D77" s="3" t="n">
        <v>45845</v>
      </c>
      <c r="E77" s="2" t="n">
        <v>30</v>
      </c>
      <c r="F77" s="3" t="n">
        <v>45875</v>
      </c>
      <c r="G77" s="4" t="n">
        <v>4900</v>
      </c>
      <c r="H77" s="2" t="s">
        <v>19</v>
      </c>
      <c r="I77" s="3" t="n">
        <v>45894</v>
      </c>
      <c r="J77" s="4" t="n">
        <v>4900</v>
      </c>
      <c r="K77" s="2" t="n">
        <v>49</v>
      </c>
      <c r="L77" s="2" t="n">
        <v>19</v>
      </c>
      <c r="M77" s="2" t="str">
        <f aca="false">IF($H77="Outstanding",MAX(0,Summary!$B$3-$F77),"")</f>
        <v/>
      </c>
      <c r="N77" s="2" t="str">
        <f aca="false">IF($M77="","",IF($M77=0,"Current",IF($M77&lt;=30,"1-30",IF($M77&lt;=60,"31-60",IF($M77&lt;=90,"61-90","90+")))))</f>
        <v/>
      </c>
      <c r="O77" s="4" t="n">
        <f aca="false">IF($H77="Outstanding",$G77,0)</f>
        <v>0</v>
      </c>
      <c r="P77" s="5" t="n">
        <f aca="false">$O77*IF($M77="",0,$M77)</f>
        <v>0</v>
      </c>
    </row>
    <row r="78" customFormat="false" ht="15" hidden="false" customHeight="false" outlineLevel="0" collapsed="false">
      <c r="A78" s="2" t="s">
        <v>130</v>
      </c>
      <c r="B78" s="2" t="s">
        <v>37</v>
      </c>
      <c r="C78" s="2" t="s">
        <v>38</v>
      </c>
      <c r="D78" s="3" t="n">
        <v>45840</v>
      </c>
      <c r="E78" s="2" t="n">
        <v>30</v>
      </c>
      <c r="F78" s="3" t="n">
        <v>45870</v>
      </c>
      <c r="G78" s="4" t="n">
        <v>4150</v>
      </c>
      <c r="H78" s="2" t="s">
        <v>19</v>
      </c>
      <c r="I78" s="3" t="n">
        <v>45887</v>
      </c>
      <c r="J78" s="4" t="n">
        <v>4150</v>
      </c>
      <c r="K78" s="2" t="n">
        <v>47</v>
      </c>
      <c r="L78" s="2" t="n">
        <v>17</v>
      </c>
      <c r="M78" s="2" t="str">
        <f aca="false">IF($H78="Outstanding",MAX(0,Summary!$B$3-$F78),"")</f>
        <v/>
      </c>
      <c r="N78" s="2" t="str">
        <f aca="false">IF($M78="","",IF($M78=0,"Current",IF($M78&lt;=30,"1-30",IF($M78&lt;=60,"31-60",IF($M78&lt;=90,"61-90","90+")))))</f>
        <v/>
      </c>
      <c r="O78" s="4" t="n">
        <f aca="false">IF($H78="Outstanding",$G78,0)</f>
        <v>0</v>
      </c>
      <c r="P78" s="5" t="n">
        <f aca="false">$O78*IF($M78="",0,$M78)</f>
        <v>0</v>
      </c>
    </row>
    <row r="79" customFormat="false" ht="15" hidden="false" customHeight="false" outlineLevel="0" collapsed="false">
      <c r="A79" s="2" t="s">
        <v>131</v>
      </c>
      <c r="B79" s="2" t="s">
        <v>60</v>
      </c>
      <c r="C79" s="2" t="s">
        <v>61</v>
      </c>
      <c r="D79" s="3" t="n">
        <v>45856</v>
      </c>
      <c r="E79" s="2" t="n">
        <v>15</v>
      </c>
      <c r="F79" s="3" t="n">
        <v>45871</v>
      </c>
      <c r="G79" s="4" t="n">
        <v>2100</v>
      </c>
      <c r="H79" s="2" t="s">
        <v>19</v>
      </c>
      <c r="I79" s="3" t="n">
        <v>45873</v>
      </c>
      <c r="J79" s="4" t="n">
        <v>2100</v>
      </c>
      <c r="K79" s="2" t="n">
        <v>17</v>
      </c>
      <c r="L79" s="2" t="n">
        <v>1</v>
      </c>
      <c r="M79" s="2" t="str">
        <f aca="false">IF($H79="Outstanding",MAX(0,Summary!$B$3-$F79),"")</f>
        <v/>
      </c>
      <c r="N79" s="2" t="str">
        <f aca="false">IF($M79="","",IF($M79=0,"Current",IF($M79&lt;=30,"1-30",IF($M79&lt;=60,"31-60",IF($M79&lt;=90,"61-90","90+")))))</f>
        <v/>
      </c>
      <c r="O79" s="4" t="n">
        <f aca="false">IF($H79="Outstanding",$G79,0)</f>
        <v>0</v>
      </c>
      <c r="P79" s="5" t="n">
        <f aca="false">$O79*IF($M79="",0,$M79)</f>
        <v>0</v>
      </c>
    </row>
    <row r="80" customFormat="false" ht="15" hidden="false" customHeight="false" outlineLevel="0" collapsed="false">
      <c r="A80" s="2" t="s">
        <v>132</v>
      </c>
      <c r="B80" s="2" t="s">
        <v>84</v>
      </c>
      <c r="C80" s="2" t="s">
        <v>85</v>
      </c>
      <c r="D80" s="3" t="n">
        <v>45853</v>
      </c>
      <c r="E80" s="2" t="n">
        <v>30</v>
      </c>
      <c r="F80" s="3" t="n">
        <v>45883</v>
      </c>
      <c r="G80" s="4" t="n">
        <v>6800</v>
      </c>
      <c r="H80" s="2" t="s">
        <v>19</v>
      </c>
      <c r="I80" s="3" t="n">
        <v>45922</v>
      </c>
      <c r="J80" s="4" t="n">
        <v>6800</v>
      </c>
      <c r="K80" s="2" t="n">
        <v>69</v>
      </c>
      <c r="L80" s="2" t="n">
        <v>38</v>
      </c>
      <c r="M80" s="2" t="str">
        <f aca="false">IF($H80="Outstanding",MAX(0,Summary!$B$3-$F80),"")</f>
        <v/>
      </c>
      <c r="N80" s="2" t="str">
        <f aca="false">IF($M80="","",IF($M80=0,"Current",IF($M80&lt;=30,"1-30",IF($M80&lt;=60,"31-60",IF($M80&lt;=90,"61-90","90+")))))</f>
        <v/>
      </c>
      <c r="O80" s="4" t="n">
        <f aca="false">IF($H80="Outstanding",$G80,0)</f>
        <v>0</v>
      </c>
      <c r="P80" s="5" t="n">
        <f aca="false">$O80*IF($M80="",0,$M80)</f>
        <v>0</v>
      </c>
    </row>
    <row r="81" customFormat="false" ht="15" hidden="false" customHeight="false" outlineLevel="0" collapsed="false">
      <c r="A81" s="2" t="s">
        <v>133</v>
      </c>
      <c r="B81" s="2" t="s">
        <v>21</v>
      </c>
      <c r="C81" s="2" t="s">
        <v>22</v>
      </c>
      <c r="D81" s="3" t="n">
        <v>45856</v>
      </c>
      <c r="E81" s="2" t="n">
        <v>30</v>
      </c>
      <c r="F81" s="3" t="n">
        <v>45886</v>
      </c>
      <c r="G81" s="4" t="n">
        <v>11300</v>
      </c>
      <c r="H81" s="2" t="s">
        <v>19</v>
      </c>
      <c r="I81" s="3" t="n">
        <v>45917</v>
      </c>
      <c r="J81" s="4" t="n">
        <v>11300</v>
      </c>
      <c r="K81" s="2" t="n">
        <v>61</v>
      </c>
      <c r="L81" s="2" t="n">
        <v>31</v>
      </c>
      <c r="M81" s="2" t="str">
        <f aca="false">IF($H81="Outstanding",MAX(0,Summary!$B$3-$F81),"")</f>
        <v/>
      </c>
      <c r="N81" s="2" t="str">
        <f aca="false">IF($M81="","",IF($M81=0,"Current",IF($M81&lt;=30,"1-30",IF($M81&lt;=60,"31-60",IF($M81&lt;=90,"61-90","90+")))))</f>
        <v/>
      </c>
      <c r="O81" s="4" t="n">
        <f aca="false">IF($H81="Outstanding",$G81,0)</f>
        <v>0</v>
      </c>
      <c r="P81" s="5" t="n">
        <f aca="false">$O81*IF($M81="",0,$M81)</f>
        <v>0</v>
      </c>
    </row>
    <row r="82" customFormat="false" ht="15" hidden="false" customHeight="false" outlineLevel="0" collapsed="false">
      <c r="A82" s="2" t="s">
        <v>134</v>
      </c>
      <c r="B82" s="2" t="s">
        <v>17</v>
      </c>
      <c r="C82" s="2" t="s">
        <v>18</v>
      </c>
      <c r="D82" s="3" t="n">
        <v>45862</v>
      </c>
      <c r="E82" s="2" t="n">
        <v>30</v>
      </c>
      <c r="F82" s="3" t="n">
        <v>45892</v>
      </c>
      <c r="G82" s="4" t="n">
        <v>12450</v>
      </c>
      <c r="H82" s="2" t="s">
        <v>19</v>
      </c>
      <c r="I82" s="3" t="n">
        <v>45964</v>
      </c>
      <c r="J82" s="4" t="n">
        <v>12450</v>
      </c>
      <c r="K82" s="2" t="n">
        <v>102</v>
      </c>
      <c r="L82" s="2" t="n">
        <v>70</v>
      </c>
      <c r="M82" s="2" t="str">
        <f aca="false">IF($H82="Outstanding",MAX(0,Summary!$B$3-$F82),"")</f>
        <v/>
      </c>
      <c r="N82" s="2" t="str">
        <f aca="false">IF($M82="","",IF($M82=0,"Current",IF($M82&lt;=30,"1-30",IF($M82&lt;=60,"31-60",IF($M82&lt;=90,"61-90","90+")))))</f>
        <v/>
      </c>
      <c r="O82" s="4" t="n">
        <f aca="false">IF($H82="Outstanding",$G82,0)</f>
        <v>0</v>
      </c>
      <c r="P82" s="5" t="n">
        <f aca="false">$O82*IF($M82="",0,$M82)</f>
        <v>0</v>
      </c>
    </row>
    <row r="83" customFormat="false" ht="15" hidden="false" customHeight="false" outlineLevel="0" collapsed="false">
      <c r="A83" s="2" t="s">
        <v>135</v>
      </c>
      <c r="B83" s="2" t="s">
        <v>63</v>
      </c>
      <c r="C83" s="2" t="s">
        <v>64</v>
      </c>
      <c r="D83" s="3" t="n">
        <v>45854</v>
      </c>
      <c r="E83" s="2" t="n">
        <v>15</v>
      </c>
      <c r="F83" s="3" t="n">
        <v>45869</v>
      </c>
      <c r="G83" s="4" t="n">
        <v>6650</v>
      </c>
      <c r="H83" s="2" t="s">
        <v>19</v>
      </c>
      <c r="I83" s="3" t="n">
        <v>45869</v>
      </c>
      <c r="J83" s="4" t="n">
        <v>6650</v>
      </c>
      <c r="K83" s="2" t="n">
        <v>15</v>
      </c>
      <c r="L83" s="2" t="n">
        <v>0</v>
      </c>
      <c r="M83" s="2" t="str">
        <f aca="false">IF($H83="Outstanding",MAX(0,Summary!$B$3-$F83),"")</f>
        <v/>
      </c>
      <c r="N83" s="2" t="str">
        <f aca="false">IF($M83="","",IF($M83=0,"Current",IF($M83&lt;=30,"1-30",IF($M83&lt;=60,"31-60",IF($M83&lt;=90,"61-90","90+")))))</f>
        <v/>
      </c>
      <c r="O83" s="4" t="n">
        <f aca="false">IF($H83="Outstanding",$G83,0)</f>
        <v>0</v>
      </c>
      <c r="P83" s="5" t="n">
        <f aca="false">$O83*IF($M83="",0,$M83)</f>
        <v>0</v>
      </c>
    </row>
    <row r="84" customFormat="false" ht="15" hidden="false" customHeight="false" outlineLevel="0" collapsed="false">
      <c r="A84" s="2" t="s">
        <v>136</v>
      </c>
      <c r="B84" s="2" t="s">
        <v>24</v>
      </c>
      <c r="C84" s="2" t="s">
        <v>25</v>
      </c>
      <c r="D84" s="3" t="n">
        <v>45847</v>
      </c>
      <c r="E84" s="2" t="n">
        <v>30</v>
      </c>
      <c r="F84" s="3" t="n">
        <v>45877</v>
      </c>
      <c r="G84" s="4" t="n">
        <v>1400</v>
      </c>
      <c r="H84" s="2" t="s">
        <v>19</v>
      </c>
      <c r="I84" s="3" t="n">
        <v>45916</v>
      </c>
      <c r="J84" s="4" t="n">
        <v>1400</v>
      </c>
      <c r="K84" s="2" t="n">
        <v>69</v>
      </c>
      <c r="L84" s="2" t="n">
        <v>39</v>
      </c>
      <c r="M84" s="2" t="str">
        <f aca="false">IF($H84="Outstanding",MAX(0,Summary!$B$3-$F84),"")</f>
        <v/>
      </c>
      <c r="N84" s="2" t="str">
        <f aca="false">IF($M84="","",IF($M84=0,"Current",IF($M84&lt;=30,"1-30",IF($M84&lt;=60,"31-60",IF($M84&lt;=90,"61-90","90+")))))</f>
        <v/>
      </c>
      <c r="O84" s="4" t="n">
        <f aca="false">IF($H84="Outstanding",$G84,0)</f>
        <v>0</v>
      </c>
      <c r="P84" s="5" t="n">
        <f aca="false">$O84*IF($M84="",0,$M84)</f>
        <v>0</v>
      </c>
    </row>
    <row r="85" customFormat="false" ht="15" hidden="false" customHeight="false" outlineLevel="0" collapsed="false">
      <c r="A85" s="2" t="s">
        <v>137</v>
      </c>
      <c r="B85" s="2" t="s">
        <v>21</v>
      </c>
      <c r="C85" s="2" t="s">
        <v>22</v>
      </c>
      <c r="D85" s="3" t="n">
        <v>45846</v>
      </c>
      <c r="E85" s="2" t="n">
        <v>30</v>
      </c>
      <c r="F85" s="3" t="n">
        <v>45876</v>
      </c>
      <c r="G85" s="4" t="n">
        <v>17850</v>
      </c>
      <c r="H85" s="2" t="s">
        <v>19</v>
      </c>
      <c r="I85" s="3" t="n">
        <v>45919</v>
      </c>
      <c r="J85" s="4" t="n">
        <v>17850</v>
      </c>
      <c r="K85" s="2" t="n">
        <v>73</v>
      </c>
      <c r="L85" s="2" t="n">
        <v>43</v>
      </c>
      <c r="M85" s="2" t="str">
        <f aca="false">IF($H85="Outstanding",MAX(0,Summary!$B$3-$F85),"")</f>
        <v/>
      </c>
      <c r="N85" s="2" t="str">
        <f aca="false">IF($M85="","",IF($M85=0,"Current",IF($M85&lt;=30,"1-30",IF($M85&lt;=60,"31-60",IF($M85&lt;=90,"61-90","90+")))))</f>
        <v/>
      </c>
      <c r="O85" s="4" t="n">
        <f aca="false">IF($H85="Outstanding",$G85,0)</f>
        <v>0</v>
      </c>
      <c r="P85" s="5" t="n">
        <f aca="false">$O85*IF($M85="",0,$M85)</f>
        <v>0</v>
      </c>
    </row>
    <row r="86" customFormat="false" ht="15" hidden="false" customHeight="false" outlineLevel="0" collapsed="false">
      <c r="A86" s="2" t="s">
        <v>138</v>
      </c>
      <c r="B86" s="2" t="s">
        <v>52</v>
      </c>
      <c r="C86" s="2" t="s">
        <v>53</v>
      </c>
      <c r="D86" s="3" t="n">
        <v>45842</v>
      </c>
      <c r="E86" s="2" t="n">
        <v>30</v>
      </c>
      <c r="F86" s="3" t="n">
        <v>45872</v>
      </c>
      <c r="G86" s="4" t="n">
        <v>11800</v>
      </c>
      <c r="H86" s="2" t="s">
        <v>19</v>
      </c>
      <c r="I86" s="3" t="n">
        <v>45887</v>
      </c>
      <c r="J86" s="4" t="n">
        <v>11800</v>
      </c>
      <c r="K86" s="2" t="n">
        <v>45</v>
      </c>
      <c r="L86" s="2" t="n">
        <v>15</v>
      </c>
      <c r="M86" s="2" t="str">
        <f aca="false">IF($H86="Outstanding",MAX(0,Summary!$B$3-$F86),"")</f>
        <v/>
      </c>
      <c r="N86" s="2" t="str">
        <f aca="false">IF($M86="","",IF($M86=0,"Current",IF($M86&lt;=30,"1-30",IF($M86&lt;=60,"31-60",IF($M86&lt;=90,"61-90","90+")))))</f>
        <v/>
      </c>
      <c r="O86" s="4" t="n">
        <f aca="false">IF($H86="Outstanding",$G86,0)</f>
        <v>0</v>
      </c>
      <c r="P86" s="5" t="n">
        <f aca="false">$O86*IF($M86="",0,$M86)</f>
        <v>0</v>
      </c>
    </row>
    <row r="87" customFormat="false" ht="15" hidden="false" customHeight="false" outlineLevel="0" collapsed="false">
      <c r="A87" s="2" t="s">
        <v>139</v>
      </c>
      <c r="B87" s="2" t="s">
        <v>17</v>
      </c>
      <c r="C87" s="2" t="s">
        <v>18</v>
      </c>
      <c r="D87" s="3" t="n">
        <v>45859</v>
      </c>
      <c r="E87" s="2" t="n">
        <v>30</v>
      </c>
      <c r="F87" s="3" t="n">
        <v>45889</v>
      </c>
      <c r="G87" s="4" t="n">
        <v>7650</v>
      </c>
      <c r="H87" s="2" t="s">
        <v>19</v>
      </c>
      <c r="I87" s="3" t="n">
        <v>45965</v>
      </c>
      <c r="J87" s="4" t="n">
        <v>7650</v>
      </c>
      <c r="K87" s="2" t="n">
        <v>106</v>
      </c>
      <c r="L87" s="2" t="n">
        <v>76</v>
      </c>
      <c r="M87" s="2" t="str">
        <f aca="false">IF($H87="Outstanding",MAX(0,Summary!$B$3-$F87),"")</f>
        <v/>
      </c>
      <c r="N87" s="2" t="str">
        <f aca="false">IF($M87="","",IF($M87=0,"Current",IF($M87&lt;=30,"1-30",IF($M87&lt;=60,"31-60",IF($M87&lt;=90,"61-90","90+")))))</f>
        <v/>
      </c>
      <c r="O87" s="4" t="n">
        <f aca="false">IF($H87="Outstanding",$G87,0)</f>
        <v>0</v>
      </c>
      <c r="P87" s="5" t="n">
        <f aca="false">$O87*IF($M87="",0,$M87)</f>
        <v>0</v>
      </c>
    </row>
    <row r="88" customFormat="false" ht="15" hidden="false" customHeight="false" outlineLevel="0" collapsed="false">
      <c r="A88" s="2" t="s">
        <v>140</v>
      </c>
      <c r="B88" s="2" t="s">
        <v>40</v>
      </c>
      <c r="C88" s="2" t="s">
        <v>41</v>
      </c>
      <c r="D88" s="3" t="n">
        <v>45882</v>
      </c>
      <c r="E88" s="2" t="n">
        <v>30</v>
      </c>
      <c r="F88" s="3" t="n">
        <v>45912</v>
      </c>
      <c r="G88" s="4" t="n">
        <v>10950</v>
      </c>
      <c r="H88" s="2" t="s">
        <v>19</v>
      </c>
      <c r="I88" s="3" t="n">
        <v>45968</v>
      </c>
      <c r="J88" s="4" t="n">
        <v>10950</v>
      </c>
      <c r="K88" s="2" t="n">
        <v>86</v>
      </c>
      <c r="L88" s="2" t="n">
        <v>56</v>
      </c>
      <c r="M88" s="2" t="str">
        <f aca="false">IF($H88="Outstanding",MAX(0,Summary!$B$3-$F88),"")</f>
        <v/>
      </c>
      <c r="N88" s="2" t="str">
        <f aca="false">IF($M88="","",IF($M88=0,"Current",IF($M88&lt;=30,"1-30",IF($M88&lt;=60,"31-60",IF($M88&lt;=90,"61-90","90+")))))</f>
        <v/>
      </c>
      <c r="O88" s="4" t="n">
        <f aca="false">IF($H88="Outstanding",$G88,0)</f>
        <v>0</v>
      </c>
      <c r="P88" s="5" t="n">
        <f aca="false">$O88*IF($M88="",0,$M88)</f>
        <v>0</v>
      </c>
    </row>
    <row r="89" customFormat="false" ht="15" hidden="false" customHeight="false" outlineLevel="0" collapsed="false">
      <c r="A89" s="2" t="s">
        <v>141</v>
      </c>
      <c r="B89" s="2" t="s">
        <v>67</v>
      </c>
      <c r="C89" s="2" t="s">
        <v>68</v>
      </c>
      <c r="D89" s="3" t="n">
        <v>45884</v>
      </c>
      <c r="E89" s="2" t="n">
        <v>30</v>
      </c>
      <c r="F89" s="3" t="n">
        <v>45914</v>
      </c>
      <c r="G89" s="4" t="n">
        <v>4750</v>
      </c>
      <c r="H89" s="2" t="s">
        <v>19</v>
      </c>
      <c r="I89" s="3" t="n">
        <v>45922</v>
      </c>
      <c r="J89" s="4" t="n">
        <v>4750</v>
      </c>
      <c r="K89" s="2" t="n">
        <v>38</v>
      </c>
      <c r="L89" s="2" t="n">
        <v>6</v>
      </c>
      <c r="M89" s="2" t="str">
        <f aca="false">IF($H89="Outstanding",MAX(0,Summary!$B$3-$F89),"")</f>
        <v/>
      </c>
      <c r="N89" s="2" t="str">
        <f aca="false">IF($M89="","",IF($M89=0,"Current",IF($M89&lt;=30,"1-30",IF($M89&lt;=60,"31-60",IF($M89&lt;=90,"61-90","90+")))))</f>
        <v/>
      </c>
      <c r="O89" s="4" t="n">
        <f aca="false">IF($H89="Outstanding",$G89,0)</f>
        <v>0</v>
      </c>
      <c r="P89" s="5" t="n">
        <f aca="false">$O89*IF($M89="",0,$M89)</f>
        <v>0</v>
      </c>
    </row>
    <row r="90" customFormat="false" ht="15" hidden="false" customHeight="false" outlineLevel="0" collapsed="false">
      <c r="A90" s="2" t="s">
        <v>142</v>
      </c>
      <c r="B90" s="2" t="s">
        <v>84</v>
      </c>
      <c r="C90" s="2" t="s">
        <v>85</v>
      </c>
      <c r="D90" s="3" t="n">
        <v>45876</v>
      </c>
      <c r="E90" s="2" t="n">
        <v>30</v>
      </c>
      <c r="F90" s="3" t="n">
        <v>45906</v>
      </c>
      <c r="G90" s="4" t="n">
        <v>10350</v>
      </c>
      <c r="H90" s="2" t="s">
        <v>19</v>
      </c>
      <c r="I90" s="3" t="n">
        <v>45922</v>
      </c>
      <c r="J90" s="4" t="n">
        <v>10350</v>
      </c>
      <c r="K90" s="2" t="n">
        <v>46</v>
      </c>
      <c r="L90" s="2" t="n">
        <v>15</v>
      </c>
      <c r="M90" s="2" t="str">
        <f aca="false">IF($H90="Outstanding",MAX(0,Summary!$B$3-$F90),"")</f>
        <v/>
      </c>
      <c r="N90" s="2" t="str">
        <f aca="false">IF($M90="","",IF($M90=0,"Current",IF($M90&lt;=30,"1-30",IF($M90&lt;=60,"31-60",IF($M90&lt;=90,"61-90","90+")))))</f>
        <v/>
      </c>
      <c r="O90" s="4" t="n">
        <f aca="false">IF($H90="Outstanding",$G90,0)</f>
        <v>0</v>
      </c>
      <c r="P90" s="5" t="n">
        <f aca="false">$O90*IF($M90="",0,$M90)</f>
        <v>0</v>
      </c>
    </row>
    <row r="91" customFormat="false" ht="15" hidden="false" customHeight="false" outlineLevel="0" collapsed="false">
      <c r="A91" s="2" t="s">
        <v>143</v>
      </c>
      <c r="B91" s="2" t="s">
        <v>55</v>
      </c>
      <c r="C91" s="2" t="s">
        <v>56</v>
      </c>
      <c r="D91" s="3" t="n">
        <v>45880</v>
      </c>
      <c r="E91" s="2" t="n">
        <v>30</v>
      </c>
      <c r="F91" s="3" t="n">
        <v>45910</v>
      </c>
      <c r="G91" s="4" t="n">
        <v>5700</v>
      </c>
      <c r="H91" s="2" t="s">
        <v>19</v>
      </c>
      <c r="I91" s="3" t="n">
        <v>45924</v>
      </c>
      <c r="J91" s="4" t="n">
        <v>5700</v>
      </c>
      <c r="K91" s="2" t="n">
        <v>44</v>
      </c>
      <c r="L91" s="2" t="n">
        <v>14</v>
      </c>
      <c r="M91" s="2" t="str">
        <f aca="false">IF($H91="Outstanding",MAX(0,Summary!$B$3-$F91),"")</f>
        <v/>
      </c>
      <c r="N91" s="2" t="str">
        <f aca="false">IF($M91="","",IF($M91=0,"Current",IF($M91&lt;=30,"1-30",IF($M91&lt;=60,"31-60",IF($M91&lt;=90,"61-90","90+")))))</f>
        <v/>
      </c>
      <c r="O91" s="4" t="n">
        <f aca="false">IF($H91="Outstanding",$G91,0)</f>
        <v>0</v>
      </c>
      <c r="P91" s="5" t="n">
        <f aca="false">$O91*IF($M91="",0,$M91)</f>
        <v>0</v>
      </c>
    </row>
    <row r="92" customFormat="false" ht="15" hidden="false" customHeight="false" outlineLevel="0" collapsed="false">
      <c r="A92" s="2" t="s">
        <v>144</v>
      </c>
      <c r="B92" s="2" t="s">
        <v>21</v>
      </c>
      <c r="C92" s="2" t="s">
        <v>22</v>
      </c>
      <c r="D92" s="3" t="n">
        <v>45874</v>
      </c>
      <c r="E92" s="2" t="n">
        <v>30</v>
      </c>
      <c r="F92" s="3" t="n">
        <v>45904</v>
      </c>
      <c r="G92" s="4" t="n">
        <v>16800</v>
      </c>
      <c r="H92" s="2" t="s">
        <v>19</v>
      </c>
      <c r="I92" s="3" t="n">
        <v>45945</v>
      </c>
      <c r="J92" s="4" t="n">
        <v>16800</v>
      </c>
      <c r="K92" s="2" t="n">
        <v>71</v>
      </c>
      <c r="L92" s="2" t="n">
        <v>41</v>
      </c>
      <c r="M92" s="2" t="str">
        <f aca="false">IF($H92="Outstanding",MAX(0,Summary!$B$3-$F92),"")</f>
        <v/>
      </c>
      <c r="N92" s="2" t="str">
        <f aca="false">IF($M92="","",IF($M92=0,"Current",IF($M92&lt;=30,"1-30",IF($M92&lt;=60,"31-60",IF($M92&lt;=90,"61-90","90+")))))</f>
        <v/>
      </c>
      <c r="O92" s="4" t="n">
        <f aca="false">IF($H92="Outstanding",$G92,0)</f>
        <v>0</v>
      </c>
      <c r="P92" s="5" t="n">
        <f aca="false">$O92*IF($M92="",0,$M92)</f>
        <v>0</v>
      </c>
    </row>
    <row r="93" customFormat="false" ht="15" hidden="false" customHeight="false" outlineLevel="0" collapsed="false">
      <c r="A93" s="2" t="s">
        <v>145</v>
      </c>
      <c r="B93" s="2" t="s">
        <v>30</v>
      </c>
      <c r="C93" s="2" t="s">
        <v>31</v>
      </c>
      <c r="D93" s="3" t="n">
        <v>45887</v>
      </c>
      <c r="E93" s="2" t="n">
        <v>30</v>
      </c>
      <c r="F93" s="3" t="n">
        <v>45917</v>
      </c>
      <c r="G93" s="4" t="n">
        <v>8150</v>
      </c>
      <c r="H93" s="2" t="s">
        <v>19</v>
      </c>
      <c r="I93" s="3" t="n">
        <v>45943</v>
      </c>
      <c r="J93" s="4" t="n">
        <v>8150</v>
      </c>
      <c r="K93" s="2" t="n">
        <v>56</v>
      </c>
      <c r="L93" s="2" t="n">
        <v>24</v>
      </c>
      <c r="M93" s="2" t="str">
        <f aca="false">IF($H93="Outstanding",MAX(0,Summary!$B$3-$F93),"")</f>
        <v/>
      </c>
      <c r="N93" s="2" t="str">
        <f aca="false">IF($M93="","",IF($M93=0,"Current",IF($M93&lt;=30,"1-30",IF($M93&lt;=60,"31-60",IF($M93&lt;=90,"61-90","90+")))))</f>
        <v/>
      </c>
      <c r="O93" s="4" t="n">
        <f aca="false">IF($H93="Outstanding",$G93,0)</f>
        <v>0</v>
      </c>
      <c r="P93" s="5" t="n">
        <f aca="false">$O93*IF($M93="",0,$M93)</f>
        <v>0</v>
      </c>
    </row>
    <row r="94" customFormat="false" ht="15" hidden="false" customHeight="false" outlineLevel="0" collapsed="false">
      <c r="A94" s="2" t="s">
        <v>146</v>
      </c>
      <c r="B94" s="2" t="s">
        <v>88</v>
      </c>
      <c r="C94" s="2" t="s">
        <v>89</v>
      </c>
      <c r="D94" s="3" t="n">
        <v>45876</v>
      </c>
      <c r="E94" s="2" t="n">
        <v>30</v>
      </c>
      <c r="F94" s="3" t="n">
        <v>45906</v>
      </c>
      <c r="G94" s="4" t="n">
        <v>7600</v>
      </c>
      <c r="H94" s="2" t="s">
        <v>19</v>
      </c>
      <c r="I94" s="3" t="n">
        <v>45910</v>
      </c>
      <c r="J94" s="4" t="n">
        <v>7600</v>
      </c>
      <c r="K94" s="2" t="n">
        <v>34</v>
      </c>
      <c r="L94" s="2" t="n">
        <v>4</v>
      </c>
      <c r="M94" s="2" t="str">
        <f aca="false">IF($H94="Outstanding",MAX(0,Summary!$B$3-$F94),"")</f>
        <v/>
      </c>
      <c r="N94" s="2" t="str">
        <f aca="false">IF($M94="","",IF($M94=0,"Current",IF($M94&lt;=30,"1-30",IF($M94&lt;=60,"31-60",IF($M94&lt;=90,"61-90","90+")))))</f>
        <v/>
      </c>
      <c r="O94" s="4" t="n">
        <f aca="false">IF($H94="Outstanding",$G94,0)</f>
        <v>0</v>
      </c>
      <c r="P94" s="5" t="n">
        <f aca="false">$O94*IF($M94="",0,$M94)</f>
        <v>0</v>
      </c>
    </row>
    <row r="95" customFormat="false" ht="15" hidden="false" customHeight="false" outlineLevel="0" collapsed="false">
      <c r="A95" s="2" t="s">
        <v>147</v>
      </c>
      <c r="B95" s="2" t="s">
        <v>24</v>
      </c>
      <c r="C95" s="2" t="s">
        <v>25</v>
      </c>
      <c r="D95" s="3" t="n">
        <v>45889</v>
      </c>
      <c r="E95" s="2" t="n">
        <v>30</v>
      </c>
      <c r="F95" s="3" t="n">
        <v>45919</v>
      </c>
      <c r="G95" s="4" t="n">
        <v>1200</v>
      </c>
      <c r="H95" s="2" t="s">
        <v>19</v>
      </c>
      <c r="I95" s="3" t="n">
        <v>45973</v>
      </c>
      <c r="J95" s="4" t="n">
        <v>1200</v>
      </c>
      <c r="K95" s="2" t="n">
        <v>84</v>
      </c>
      <c r="L95" s="2" t="n">
        <v>54</v>
      </c>
      <c r="M95" s="2" t="str">
        <f aca="false">IF($H95="Outstanding",MAX(0,Summary!$B$3-$F95),"")</f>
        <v/>
      </c>
      <c r="N95" s="2" t="str">
        <f aca="false">IF($M95="","",IF($M95=0,"Current",IF($M95&lt;=30,"1-30",IF($M95&lt;=60,"31-60",IF($M95&lt;=90,"61-90","90+")))))</f>
        <v/>
      </c>
      <c r="O95" s="4" t="n">
        <f aca="false">IF($H95="Outstanding",$G95,0)</f>
        <v>0</v>
      </c>
      <c r="P95" s="5" t="n">
        <f aca="false">$O95*IF($M95="",0,$M95)</f>
        <v>0</v>
      </c>
    </row>
    <row r="96" customFormat="false" ht="15" hidden="false" customHeight="false" outlineLevel="0" collapsed="false">
      <c r="A96" s="2" t="s">
        <v>148</v>
      </c>
      <c r="B96" s="2" t="s">
        <v>27</v>
      </c>
      <c r="C96" s="2" t="s">
        <v>28</v>
      </c>
      <c r="D96" s="3" t="n">
        <v>45874</v>
      </c>
      <c r="E96" s="2" t="n">
        <v>45</v>
      </c>
      <c r="F96" s="3" t="n">
        <v>45919</v>
      </c>
      <c r="G96" s="4" t="n">
        <v>35700</v>
      </c>
      <c r="H96" s="2" t="s">
        <v>19</v>
      </c>
      <c r="I96" s="3" t="n">
        <v>45929</v>
      </c>
      <c r="J96" s="4" t="n">
        <v>35700</v>
      </c>
      <c r="K96" s="2" t="n">
        <v>55</v>
      </c>
      <c r="L96" s="2" t="n">
        <v>10</v>
      </c>
      <c r="M96" s="2" t="str">
        <f aca="false">IF($H96="Outstanding",MAX(0,Summary!$B$3-$F96),"")</f>
        <v/>
      </c>
      <c r="N96" s="2" t="str">
        <f aca="false">IF($M96="","",IF($M96=0,"Current",IF($M96&lt;=30,"1-30",IF($M96&lt;=60,"31-60",IF($M96&lt;=90,"61-90","90+")))))</f>
        <v/>
      </c>
      <c r="O96" s="4" t="n">
        <f aca="false">IF($H96="Outstanding",$G96,0)</f>
        <v>0</v>
      </c>
      <c r="P96" s="5" t="n">
        <f aca="false">$O96*IF($M96="",0,$M96)</f>
        <v>0</v>
      </c>
    </row>
    <row r="97" customFormat="false" ht="15" hidden="false" customHeight="false" outlineLevel="0" collapsed="false">
      <c r="A97" s="2" t="s">
        <v>149</v>
      </c>
      <c r="B97" s="2" t="s">
        <v>77</v>
      </c>
      <c r="C97" s="2" t="s">
        <v>78</v>
      </c>
      <c r="D97" s="3" t="n">
        <v>45873</v>
      </c>
      <c r="E97" s="2" t="n">
        <v>30</v>
      </c>
      <c r="F97" s="3" t="n">
        <v>45903</v>
      </c>
      <c r="G97" s="4" t="n">
        <v>27850</v>
      </c>
      <c r="H97" s="2" t="s">
        <v>19</v>
      </c>
      <c r="I97" s="3" t="n">
        <v>45911</v>
      </c>
      <c r="J97" s="4" t="n">
        <v>27850</v>
      </c>
      <c r="K97" s="2" t="n">
        <v>38</v>
      </c>
      <c r="L97" s="2" t="n">
        <v>8</v>
      </c>
      <c r="M97" s="2" t="str">
        <f aca="false">IF($H97="Outstanding",MAX(0,Summary!$B$3-$F97),"")</f>
        <v/>
      </c>
      <c r="N97" s="2" t="str">
        <f aca="false">IF($M97="","",IF($M97=0,"Current",IF($M97&lt;=30,"1-30",IF($M97&lt;=60,"31-60",IF($M97&lt;=90,"61-90","90+")))))</f>
        <v/>
      </c>
      <c r="O97" s="4" t="n">
        <f aca="false">IF($H97="Outstanding",$G97,0)</f>
        <v>0</v>
      </c>
      <c r="P97" s="5" t="n">
        <f aca="false">$O97*IF($M97="",0,$M97)</f>
        <v>0</v>
      </c>
    </row>
    <row r="98" customFormat="false" ht="15" hidden="false" customHeight="false" outlineLevel="0" collapsed="false">
      <c r="A98" s="2" t="s">
        <v>150</v>
      </c>
      <c r="B98" s="2" t="s">
        <v>24</v>
      </c>
      <c r="C98" s="2" t="s">
        <v>25</v>
      </c>
      <c r="D98" s="3" t="n">
        <v>45870</v>
      </c>
      <c r="E98" s="2" t="n">
        <v>30</v>
      </c>
      <c r="F98" s="3" t="n">
        <v>45900</v>
      </c>
      <c r="G98" s="4" t="n">
        <v>2050</v>
      </c>
      <c r="H98" s="2" t="s">
        <v>19</v>
      </c>
      <c r="I98" s="3" t="n">
        <v>45937</v>
      </c>
      <c r="J98" s="4" t="n">
        <v>2050</v>
      </c>
      <c r="K98" s="2" t="n">
        <v>67</v>
      </c>
      <c r="L98" s="2" t="n">
        <v>37</v>
      </c>
      <c r="M98" s="2" t="str">
        <f aca="false">IF($H98="Outstanding",MAX(0,Summary!$B$3-$F98),"")</f>
        <v/>
      </c>
      <c r="N98" s="2" t="str">
        <f aca="false">IF($M98="","",IF($M98=0,"Current",IF($M98&lt;=30,"1-30",IF($M98&lt;=60,"31-60",IF($M98&lt;=90,"61-90","90+")))))</f>
        <v/>
      </c>
      <c r="O98" s="4" t="n">
        <f aca="false">IF($H98="Outstanding",$G98,0)</f>
        <v>0</v>
      </c>
      <c r="P98" s="5" t="n">
        <f aca="false">$O98*IF($M98="",0,$M98)</f>
        <v>0</v>
      </c>
    </row>
    <row r="99" customFormat="false" ht="15" hidden="false" customHeight="false" outlineLevel="0" collapsed="false">
      <c r="A99" s="2" t="s">
        <v>151</v>
      </c>
      <c r="B99" s="2" t="s">
        <v>77</v>
      </c>
      <c r="C99" s="2" t="s">
        <v>78</v>
      </c>
      <c r="D99" s="3" t="n">
        <v>45888</v>
      </c>
      <c r="E99" s="2" t="n">
        <v>30</v>
      </c>
      <c r="F99" s="3" t="n">
        <v>45918</v>
      </c>
      <c r="G99" s="4" t="n">
        <v>17700</v>
      </c>
      <c r="H99" s="2" t="s">
        <v>19</v>
      </c>
      <c r="I99" s="3" t="n">
        <v>45933</v>
      </c>
      <c r="J99" s="4" t="n">
        <v>17700</v>
      </c>
      <c r="K99" s="2" t="n">
        <v>45</v>
      </c>
      <c r="L99" s="2" t="n">
        <v>15</v>
      </c>
      <c r="M99" s="2" t="str">
        <f aca="false">IF($H99="Outstanding",MAX(0,Summary!$B$3-$F99),"")</f>
        <v/>
      </c>
      <c r="N99" s="2" t="str">
        <f aca="false">IF($M99="","",IF($M99=0,"Current",IF($M99&lt;=30,"1-30",IF($M99&lt;=60,"31-60",IF($M99&lt;=90,"61-90","90+")))))</f>
        <v/>
      </c>
      <c r="O99" s="4" t="n">
        <f aca="false">IF($H99="Outstanding",$G99,0)</f>
        <v>0</v>
      </c>
      <c r="P99" s="5" t="n">
        <f aca="false">$O99*IF($M99="",0,$M99)</f>
        <v>0</v>
      </c>
    </row>
    <row r="100" customFormat="false" ht="15" hidden="false" customHeight="false" outlineLevel="0" collapsed="false">
      <c r="A100" s="2" t="s">
        <v>152</v>
      </c>
      <c r="B100" s="2" t="s">
        <v>88</v>
      </c>
      <c r="C100" s="2" t="s">
        <v>89</v>
      </c>
      <c r="D100" s="3" t="n">
        <v>45875</v>
      </c>
      <c r="E100" s="2" t="n">
        <v>30</v>
      </c>
      <c r="F100" s="3" t="n">
        <v>45905</v>
      </c>
      <c r="G100" s="4" t="n">
        <v>3500</v>
      </c>
      <c r="H100" s="2" t="s">
        <v>19</v>
      </c>
      <c r="I100" s="3" t="n">
        <v>45911</v>
      </c>
      <c r="J100" s="4" t="n">
        <v>3500</v>
      </c>
      <c r="K100" s="2" t="n">
        <v>36</v>
      </c>
      <c r="L100" s="2" t="n">
        <v>6</v>
      </c>
      <c r="M100" s="2" t="str">
        <f aca="false">IF($H100="Outstanding",MAX(0,Summary!$B$3-$F100),"")</f>
        <v/>
      </c>
      <c r="N100" s="2" t="str">
        <f aca="false">IF($M100="","",IF($M100=0,"Current",IF($M100&lt;=30,"1-30",IF($M100&lt;=60,"31-60",IF($M100&lt;=90,"61-90","90+")))))</f>
        <v/>
      </c>
      <c r="O100" s="4" t="n">
        <f aca="false">IF($H100="Outstanding",$G100,0)</f>
        <v>0</v>
      </c>
      <c r="P100" s="5" t="n">
        <f aca="false">$O100*IF($M100="",0,$M100)</f>
        <v>0</v>
      </c>
    </row>
    <row r="101" customFormat="false" ht="15" hidden="false" customHeight="false" outlineLevel="0" collapsed="false">
      <c r="A101" s="2" t="s">
        <v>153</v>
      </c>
      <c r="B101" s="2" t="s">
        <v>47</v>
      </c>
      <c r="C101" s="2" t="s">
        <v>48</v>
      </c>
      <c r="D101" s="3" t="n">
        <v>45904</v>
      </c>
      <c r="E101" s="2" t="n">
        <v>15</v>
      </c>
      <c r="F101" s="3" t="n">
        <v>45919</v>
      </c>
      <c r="G101" s="4" t="n">
        <v>3550</v>
      </c>
      <c r="H101" s="2" t="s">
        <v>19</v>
      </c>
      <c r="I101" s="3" t="n">
        <v>45922</v>
      </c>
      <c r="J101" s="4" t="n">
        <v>3550</v>
      </c>
      <c r="K101" s="2" t="n">
        <v>18</v>
      </c>
      <c r="L101" s="2" t="n">
        <v>3</v>
      </c>
      <c r="M101" s="2" t="str">
        <f aca="false">IF($H101="Outstanding",MAX(0,Summary!$B$3-$F101),"")</f>
        <v/>
      </c>
      <c r="N101" s="2" t="str">
        <f aca="false">IF($M101="","",IF($M101=0,"Current",IF($M101&lt;=30,"1-30",IF($M101&lt;=60,"31-60",IF($M101&lt;=90,"61-90","90+")))))</f>
        <v/>
      </c>
      <c r="O101" s="4" t="n">
        <f aca="false">IF($H101="Outstanding",$G101,0)</f>
        <v>0</v>
      </c>
      <c r="P101" s="5" t="n">
        <f aca="false">$O101*IF($M101="",0,$M101)</f>
        <v>0</v>
      </c>
    </row>
    <row r="102" customFormat="false" ht="15" hidden="false" customHeight="false" outlineLevel="0" collapsed="false">
      <c r="A102" s="2" t="s">
        <v>154</v>
      </c>
      <c r="B102" s="2" t="s">
        <v>21</v>
      </c>
      <c r="C102" s="2" t="s">
        <v>22</v>
      </c>
      <c r="D102" s="3" t="n">
        <v>45916</v>
      </c>
      <c r="E102" s="2" t="n">
        <v>30</v>
      </c>
      <c r="F102" s="3" t="n">
        <v>45946</v>
      </c>
      <c r="G102" s="4" t="n">
        <v>11700</v>
      </c>
      <c r="H102" s="2" t="s">
        <v>19</v>
      </c>
      <c r="I102" s="3" t="n">
        <v>45978</v>
      </c>
      <c r="J102" s="4" t="n">
        <v>11700</v>
      </c>
      <c r="K102" s="2" t="n">
        <v>62</v>
      </c>
      <c r="L102" s="2" t="n">
        <v>30</v>
      </c>
      <c r="M102" s="2" t="str">
        <f aca="false">IF($H102="Outstanding",MAX(0,Summary!$B$3-$F102),"")</f>
        <v/>
      </c>
      <c r="N102" s="2" t="str">
        <f aca="false">IF($M102="","",IF($M102=0,"Current",IF($M102&lt;=30,"1-30",IF($M102&lt;=60,"31-60",IF($M102&lt;=90,"61-90","90+")))))</f>
        <v/>
      </c>
      <c r="O102" s="4" t="n">
        <f aca="false">IF($H102="Outstanding",$G102,0)</f>
        <v>0</v>
      </c>
      <c r="P102" s="5" t="n">
        <f aca="false">$O102*IF($M102="",0,$M102)</f>
        <v>0</v>
      </c>
    </row>
    <row r="103" customFormat="false" ht="15" hidden="false" customHeight="false" outlineLevel="0" collapsed="false">
      <c r="A103" s="2" t="s">
        <v>155</v>
      </c>
      <c r="B103" s="2" t="s">
        <v>67</v>
      </c>
      <c r="C103" s="2" t="s">
        <v>68</v>
      </c>
      <c r="D103" s="3" t="n">
        <v>45915</v>
      </c>
      <c r="E103" s="2" t="n">
        <v>30</v>
      </c>
      <c r="F103" s="3" t="n">
        <v>45945</v>
      </c>
      <c r="G103" s="4" t="n">
        <v>8050</v>
      </c>
      <c r="H103" s="2" t="s">
        <v>19</v>
      </c>
      <c r="I103" s="3" t="n">
        <v>45957</v>
      </c>
      <c r="J103" s="4" t="n">
        <v>8050</v>
      </c>
      <c r="K103" s="2" t="n">
        <v>42</v>
      </c>
      <c r="L103" s="2" t="n">
        <v>12</v>
      </c>
      <c r="M103" s="2" t="str">
        <f aca="false">IF($H103="Outstanding",MAX(0,Summary!$B$3-$F103),"")</f>
        <v/>
      </c>
      <c r="N103" s="2" t="str">
        <f aca="false">IF($M103="","",IF($M103=0,"Current",IF($M103&lt;=30,"1-30",IF($M103&lt;=60,"31-60",IF($M103&lt;=90,"61-90","90+")))))</f>
        <v/>
      </c>
      <c r="O103" s="4" t="n">
        <f aca="false">IF($H103="Outstanding",$G103,0)</f>
        <v>0</v>
      </c>
      <c r="P103" s="5" t="n">
        <f aca="false">$O103*IF($M103="",0,$M103)</f>
        <v>0</v>
      </c>
    </row>
    <row r="104" customFormat="false" ht="15" hidden="false" customHeight="false" outlineLevel="0" collapsed="false">
      <c r="A104" s="2" t="s">
        <v>156</v>
      </c>
      <c r="B104" s="2" t="s">
        <v>63</v>
      </c>
      <c r="C104" s="2" t="s">
        <v>64</v>
      </c>
      <c r="D104" s="3" t="n">
        <v>45922</v>
      </c>
      <c r="E104" s="2" t="n">
        <v>15</v>
      </c>
      <c r="F104" s="3" t="n">
        <v>45937</v>
      </c>
      <c r="G104" s="4" t="n">
        <v>3450</v>
      </c>
      <c r="H104" s="2" t="s">
        <v>19</v>
      </c>
      <c r="I104" s="3" t="n">
        <v>45939</v>
      </c>
      <c r="J104" s="4" t="n">
        <v>3450</v>
      </c>
      <c r="K104" s="2" t="n">
        <v>17</v>
      </c>
      <c r="L104" s="2" t="n">
        <v>2</v>
      </c>
      <c r="M104" s="2" t="str">
        <f aca="false">IF($H104="Outstanding",MAX(0,Summary!$B$3-$F104),"")</f>
        <v/>
      </c>
      <c r="N104" s="2" t="str">
        <f aca="false">IF($M104="","",IF($M104=0,"Current",IF($M104&lt;=30,"1-30",IF($M104&lt;=60,"31-60",IF($M104&lt;=90,"61-90","90+")))))</f>
        <v/>
      </c>
      <c r="O104" s="4" t="n">
        <f aca="false">IF($H104="Outstanding",$G104,0)</f>
        <v>0</v>
      </c>
      <c r="P104" s="5" t="n">
        <f aca="false">$O104*IF($M104="",0,$M104)</f>
        <v>0</v>
      </c>
    </row>
    <row r="105" customFormat="false" ht="15" hidden="false" customHeight="false" outlineLevel="0" collapsed="false">
      <c r="A105" s="2" t="s">
        <v>157</v>
      </c>
      <c r="B105" s="2" t="s">
        <v>17</v>
      </c>
      <c r="C105" s="2" t="s">
        <v>18</v>
      </c>
      <c r="D105" s="3" t="n">
        <v>45917</v>
      </c>
      <c r="E105" s="2" t="n">
        <v>30</v>
      </c>
      <c r="F105" s="3" t="n">
        <v>45947</v>
      </c>
      <c r="G105" s="4" t="n">
        <v>6900</v>
      </c>
      <c r="H105" s="2" t="s">
        <v>19</v>
      </c>
      <c r="I105" s="3" t="n">
        <v>45981</v>
      </c>
      <c r="J105" s="4" t="n">
        <v>6900</v>
      </c>
      <c r="K105" s="2" t="n">
        <v>64</v>
      </c>
      <c r="L105" s="2" t="n">
        <v>34</v>
      </c>
      <c r="M105" s="2" t="str">
        <f aca="false">IF($H105="Outstanding",MAX(0,Summary!$B$3-$F105),"")</f>
        <v/>
      </c>
      <c r="N105" s="2" t="str">
        <f aca="false">IF($M105="","",IF($M105=0,"Current",IF($M105&lt;=30,"1-30",IF($M105&lt;=60,"31-60",IF($M105&lt;=90,"61-90","90+")))))</f>
        <v/>
      </c>
      <c r="O105" s="4" t="n">
        <f aca="false">IF($H105="Outstanding",$G105,0)</f>
        <v>0</v>
      </c>
      <c r="P105" s="5" t="n">
        <f aca="false">$O105*IF($M105="",0,$M105)</f>
        <v>0</v>
      </c>
    </row>
    <row r="106" customFormat="false" ht="15" hidden="false" customHeight="false" outlineLevel="0" collapsed="false">
      <c r="A106" s="2" t="s">
        <v>158</v>
      </c>
      <c r="B106" s="2" t="s">
        <v>24</v>
      </c>
      <c r="C106" s="2" t="s">
        <v>25</v>
      </c>
      <c r="D106" s="3" t="n">
        <v>45922</v>
      </c>
      <c r="E106" s="2" t="n">
        <v>30</v>
      </c>
      <c r="F106" s="3" t="n">
        <v>45952</v>
      </c>
      <c r="G106" s="4" t="n">
        <v>7250</v>
      </c>
      <c r="H106" s="2" t="s">
        <v>19</v>
      </c>
      <c r="I106" s="3" t="n">
        <v>46002</v>
      </c>
      <c r="J106" s="4" t="n">
        <v>7250</v>
      </c>
      <c r="K106" s="2" t="n">
        <v>80</v>
      </c>
      <c r="L106" s="2" t="n">
        <v>50</v>
      </c>
      <c r="M106" s="2" t="str">
        <f aca="false">IF($H106="Outstanding",MAX(0,Summary!$B$3-$F106),"")</f>
        <v/>
      </c>
      <c r="N106" s="2" t="str">
        <f aca="false">IF($M106="","",IF($M106=0,"Current",IF($M106&lt;=30,"1-30",IF($M106&lt;=60,"31-60",IF($M106&lt;=90,"61-90","90+")))))</f>
        <v/>
      </c>
      <c r="O106" s="4" t="n">
        <f aca="false">IF($H106="Outstanding",$G106,0)</f>
        <v>0</v>
      </c>
      <c r="P106" s="5" t="n">
        <f aca="false">$O106*IF($M106="",0,$M106)</f>
        <v>0</v>
      </c>
    </row>
    <row r="107" customFormat="false" ht="15" hidden="false" customHeight="false" outlineLevel="0" collapsed="false">
      <c r="A107" s="2" t="s">
        <v>159</v>
      </c>
      <c r="B107" s="2" t="s">
        <v>52</v>
      </c>
      <c r="C107" s="2" t="s">
        <v>53</v>
      </c>
      <c r="D107" s="3" t="n">
        <v>45915</v>
      </c>
      <c r="E107" s="2" t="n">
        <v>30</v>
      </c>
      <c r="F107" s="3" t="n">
        <v>45945</v>
      </c>
      <c r="G107" s="4" t="n">
        <v>6550</v>
      </c>
      <c r="H107" s="2" t="s">
        <v>19</v>
      </c>
      <c r="I107" s="3" t="n">
        <v>45971</v>
      </c>
      <c r="J107" s="4" t="n">
        <v>6550</v>
      </c>
      <c r="K107" s="2" t="n">
        <v>56</v>
      </c>
      <c r="L107" s="2" t="n">
        <v>26</v>
      </c>
      <c r="M107" s="2" t="str">
        <f aca="false">IF($H107="Outstanding",MAX(0,Summary!$B$3-$F107),"")</f>
        <v/>
      </c>
      <c r="N107" s="2" t="str">
        <f aca="false">IF($M107="","",IF($M107=0,"Current",IF($M107&lt;=30,"1-30",IF($M107&lt;=60,"31-60",IF($M107&lt;=90,"61-90","90+")))))</f>
        <v/>
      </c>
      <c r="O107" s="4" t="n">
        <f aca="false">IF($H107="Outstanding",$G107,0)</f>
        <v>0</v>
      </c>
      <c r="P107" s="5" t="n">
        <f aca="false">$O107*IF($M107="",0,$M107)</f>
        <v>0</v>
      </c>
    </row>
    <row r="108" customFormat="false" ht="15" hidden="false" customHeight="false" outlineLevel="0" collapsed="false">
      <c r="A108" s="2" t="s">
        <v>160</v>
      </c>
      <c r="B108" s="2" t="s">
        <v>43</v>
      </c>
      <c r="C108" s="2" t="s">
        <v>44</v>
      </c>
      <c r="D108" s="3" t="n">
        <v>45904</v>
      </c>
      <c r="E108" s="2" t="n">
        <v>30</v>
      </c>
      <c r="F108" s="3" t="n">
        <v>45934</v>
      </c>
      <c r="G108" s="4" t="n">
        <v>21250</v>
      </c>
      <c r="H108" s="2" t="s">
        <v>45</v>
      </c>
      <c r="I108" s="3" t="n">
        <v>45950</v>
      </c>
      <c r="J108" s="4" t="n">
        <v>21250</v>
      </c>
      <c r="K108" s="2" t="n">
        <v>46</v>
      </c>
      <c r="L108" s="2" t="n">
        <v>14</v>
      </c>
      <c r="M108" s="2" t="str">
        <f aca="false">IF($H108="Outstanding",MAX(0,Summary!$B$3-$F108),"")</f>
        <v/>
      </c>
      <c r="N108" s="2" t="str">
        <f aca="false">IF($M108="","",IF($M108=0,"Current",IF($M108&lt;=30,"1-30",IF($M108&lt;=60,"31-60",IF($M108&lt;=90,"61-90","90+")))))</f>
        <v/>
      </c>
      <c r="O108" s="4" t="n">
        <f aca="false">IF($H108="Outstanding",$G108,0)</f>
        <v>0</v>
      </c>
      <c r="P108" s="5" t="n">
        <f aca="false">$O108*IF($M108="",0,$M108)</f>
        <v>0</v>
      </c>
    </row>
    <row r="109" customFormat="false" ht="15" hidden="false" customHeight="false" outlineLevel="0" collapsed="false">
      <c r="A109" s="2" t="s">
        <v>161</v>
      </c>
      <c r="B109" s="2" t="s">
        <v>30</v>
      </c>
      <c r="C109" s="2" t="s">
        <v>31</v>
      </c>
      <c r="D109" s="3" t="n">
        <v>45922</v>
      </c>
      <c r="E109" s="2" t="n">
        <v>30</v>
      </c>
      <c r="F109" s="3" t="n">
        <v>45952</v>
      </c>
      <c r="G109" s="4" t="n">
        <v>6950</v>
      </c>
      <c r="H109" s="2" t="s">
        <v>19</v>
      </c>
      <c r="I109" s="3" t="n">
        <v>45966</v>
      </c>
      <c r="J109" s="4" t="n">
        <v>6950</v>
      </c>
      <c r="K109" s="2" t="n">
        <v>44</v>
      </c>
      <c r="L109" s="2" t="n">
        <v>14</v>
      </c>
      <c r="M109" s="2" t="str">
        <f aca="false">IF($H109="Outstanding",MAX(0,Summary!$B$3-$F109),"")</f>
        <v/>
      </c>
      <c r="N109" s="2" t="str">
        <f aca="false">IF($M109="","",IF($M109=0,"Current",IF($M109&lt;=30,"1-30",IF($M109&lt;=60,"31-60",IF($M109&lt;=90,"61-90","90+")))))</f>
        <v/>
      </c>
      <c r="O109" s="4" t="n">
        <f aca="false">IF($H109="Outstanding",$G109,0)</f>
        <v>0</v>
      </c>
      <c r="P109" s="5" t="n">
        <f aca="false">$O109*IF($M109="",0,$M109)</f>
        <v>0</v>
      </c>
    </row>
    <row r="110" customFormat="false" ht="15" hidden="false" customHeight="false" outlineLevel="0" collapsed="false">
      <c r="A110" s="2" t="s">
        <v>162</v>
      </c>
      <c r="B110" s="2" t="s">
        <v>84</v>
      </c>
      <c r="C110" s="2" t="s">
        <v>85</v>
      </c>
      <c r="D110" s="3" t="n">
        <v>45905</v>
      </c>
      <c r="E110" s="2" t="n">
        <v>30</v>
      </c>
      <c r="F110" s="3" t="n">
        <v>45935</v>
      </c>
      <c r="G110" s="4" t="n">
        <v>5600</v>
      </c>
      <c r="H110" s="2" t="s">
        <v>19</v>
      </c>
      <c r="I110" s="3" t="n">
        <v>45943</v>
      </c>
      <c r="J110" s="4" t="n">
        <v>5600</v>
      </c>
      <c r="K110" s="2" t="n">
        <v>38</v>
      </c>
      <c r="L110" s="2" t="n">
        <v>6</v>
      </c>
      <c r="M110" s="2" t="str">
        <f aca="false">IF($H110="Outstanding",MAX(0,Summary!$B$3-$F110),"")</f>
        <v/>
      </c>
      <c r="N110" s="2" t="str">
        <f aca="false">IF($M110="","",IF($M110=0,"Current",IF($M110&lt;=30,"1-30",IF($M110&lt;=60,"31-60",IF($M110&lt;=90,"61-90","90+")))))</f>
        <v/>
      </c>
      <c r="O110" s="4" t="n">
        <f aca="false">IF($H110="Outstanding",$G110,0)</f>
        <v>0</v>
      </c>
      <c r="P110" s="5" t="n">
        <f aca="false">$O110*IF($M110="",0,$M110)</f>
        <v>0</v>
      </c>
    </row>
    <row r="111" customFormat="false" ht="15" hidden="false" customHeight="false" outlineLevel="0" collapsed="false">
      <c r="A111" s="2" t="s">
        <v>163</v>
      </c>
      <c r="B111" s="2" t="s">
        <v>24</v>
      </c>
      <c r="C111" s="2" t="s">
        <v>25</v>
      </c>
      <c r="D111" s="3" t="n">
        <v>45911</v>
      </c>
      <c r="E111" s="2" t="n">
        <v>30</v>
      </c>
      <c r="F111" s="3" t="n">
        <v>45941</v>
      </c>
      <c r="G111" s="4" t="n">
        <v>3600</v>
      </c>
      <c r="H111" s="2" t="s">
        <v>19</v>
      </c>
      <c r="I111" s="3" t="n">
        <v>45979</v>
      </c>
      <c r="J111" s="4" t="n">
        <v>3600</v>
      </c>
      <c r="K111" s="2" t="n">
        <v>68</v>
      </c>
      <c r="L111" s="2" t="n">
        <v>38</v>
      </c>
      <c r="M111" s="2" t="str">
        <f aca="false">IF($H111="Outstanding",MAX(0,Summary!$B$3-$F111),"")</f>
        <v/>
      </c>
      <c r="N111" s="2" t="str">
        <f aca="false">IF($M111="","",IF($M111=0,"Current",IF($M111&lt;=30,"1-30",IF($M111&lt;=60,"31-60",IF($M111&lt;=90,"61-90","90+")))))</f>
        <v/>
      </c>
      <c r="O111" s="4" t="n">
        <f aca="false">IF($H111="Outstanding",$G111,0)</f>
        <v>0</v>
      </c>
      <c r="P111" s="5" t="n">
        <f aca="false">$O111*IF($M111="",0,$M111)</f>
        <v>0</v>
      </c>
    </row>
    <row r="112" customFormat="false" ht="15" hidden="false" customHeight="false" outlineLevel="0" collapsed="false">
      <c r="A112" s="2" t="s">
        <v>164</v>
      </c>
      <c r="B112" s="2" t="s">
        <v>77</v>
      </c>
      <c r="C112" s="2" t="s">
        <v>78</v>
      </c>
      <c r="D112" s="3" t="n">
        <v>45922</v>
      </c>
      <c r="E112" s="2" t="n">
        <v>30</v>
      </c>
      <c r="F112" s="3" t="n">
        <v>45952</v>
      </c>
      <c r="G112" s="4" t="n">
        <v>23900</v>
      </c>
      <c r="H112" s="2" t="s">
        <v>19</v>
      </c>
      <c r="I112" s="3" t="n">
        <v>45957</v>
      </c>
      <c r="J112" s="4" t="n">
        <v>23900</v>
      </c>
      <c r="K112" s="2" t="n">
        <v>35</v>
      </c>
      <c r="L112" s="2" t="n">
        <v>4</v>
      </c>
      <c r="M112" s="2" t="str">
        <f aca="false">IF($H112="Outstanding",MAX(0,Summary!$B$3-$F112),"")</f>
        <v/>
      </c>
      <c r="N112" s="2" t="str">
        <f aca="false">IF($M112="","",IF($M112=0,"Current",IF($M112&lt;=30,"1-30",IF($M112&lt;=60,"31-60",IF($M112&lt;=90,"61-90","90+")))))</f>
        <v/>
      </c>
      <c r="O112" s="4" t="n">
        <f aca="false">IF($H112="Outstanding",$G112,0)</f>
        <v>0</v>
      </c>
      <c r="P112" s="5" t="n">
        <f aca="false">$O112*IF($M112="",0,$M112)</f>
        <v>0</v>
      </c>
    </row>
    <row r="113" customFormat="false" ht="15" hidden="false" customHeight="false" outlineLevel="0" collapsed="false">
      <c r="A113" s="2" t="s">
        <v>165</v>
      </c>
      <c r="B113" s="2" t="s">
        <v>60</v>
      </c>
      <c r="C113" s="2" t="s">
        <v>61</v>
      </c>
      <c r="D113" s="3" t="n">
        <v>45904</v>
      </c>
      <c r="E113" s="2" t="n">
        <v>15</v>
      </c>
      <c r="F113" s="3" t="n">
        <v>45919</v>
      </c>
      <c r="G113" s="4" t="n">
        <v>5050</v>
      </c>
      <c r="H113" s="2" t="s">
        <v>19</v>
      </c>
      <c r="I113" s="3" t="n">
        <v>45922</v>
      </c>
      <c r="J113" s="4" t="n">
        <v>5050</v>
      </c>
      <c r="K113" s="2" t="n">
        <v>18</v>
      </c>
      <c r="L113" s="2" t="n">
        <v>1</v>
      </c>
      <c r="M113" s="2" t="str">
        <f aca="false">IF($H113="Outstanding",MAX(0,Summary!$B$3-$F113),"")</f>
        <v/>
      </c>
      <c r="N113" s="2" t="str">
        <f aca="false">IF($M113="","",IF($M113=0,"Current",IF($M113&lt;=30,"1-30",IF($M113&lt;=60,"31-60",IF($M113&lt;=90,"61-90","90+")))))</f>
        <v/>
      </c>
      <c r="O113" s="4" t="n">
        <f aca="false">IF($H113="Outstanding",$G113,0)</f>
        <v>0</v>
      </c>
      <c r="P113" s="5" t="n">
        <f aca="false">$O113*IF($M113="",0,$M113)</f>
        <v>0</v>
      </c>
    </row>
    <row r="114" customFormat="false" ht="15" hidden="false" customHeight="false" outlineLevel="0" collapsed="false">
      <c r="A114" s="2" t="s">
        <v>166</v>
      </c>
      <c r="B114" s="2" t="s">
        <v>43</v>
      </c>
      <c r="C114" s="2" t="s">
        <v>44</v>
      </c>
      <c r="D114" s="3" t="n">
        <v>45936</v>
      </c>
      <c r="E114" s="2" t="n">
        <v>30</v>
      </c>
      <c r="F114" s="3" t="n">
        <v>45966</v>
      </c>
      <c r="G114" s="4" t="n">
        <v>30300</v>
      </c>
      <c r="H114" s="2" t="s">
        <v>19</v>
      </c>
      <c r="I114" s="3" t="n">
        <v>45971</v>
      </c>
      <c r="J114" s="4" t="n">
        <v>30300</v>
      </c>
      <c r="K114" s="2" t="n">
        <v>35</v>
      </c>
      <c r="L114" s="2" t="n">
        <v>3</v>
      </c>
      <c r="M114" s="2" t="str">
        <f aca="false">IF($H114="Outstanding",MAX(0,Summary!$B$3-$F114),"")</f>
        <v/>
      </c>
      <c r="N114" s="2" t="str">
        <f aca="false">IF($M114="","",IF($M114=0,"Current",IF($M114&lt;=30,"1-30",IF($M114&lt;=60,"31-60",IF($M114&lt;=90,"61-90","90+")))))</f>
        <v/>
      </c>
      <c r="O114" s="4" t="n">
        <f aca="false">IF($H114="Outstanding",$G114,0)</f>
        <v>0</v>
      </c>
      <c r="P114" s="5" t="n">
        <f aca="false">$O114*IF($M114="",0,$M114)</f>
        <v>0</v>
      </c>
    </row>
    <row r="115" customFormat="false" ht="15" hidden="false" customHeight="false" outlineLevel="0" collapsed="false">
      <c r="A115" s="2" t="s">
        <v>167</v>
      </c>
      <c r="B115" s="2" t="s">
        <v>47</v>
      </c>
      <c r="C115" s="2" t="s">
        <v>48</v>
      </c>
      <c r="D115" s="3" t="n">
        <v>45937</v>
      </c>
      <c r="E115" s="2" t="n">
        <v>15</v>
      </c>
      <c r="F115" s="3" t="n">
        <v>45952</v>
      </c>
      <c r="G115" s="4" t="n">
        <v>2400</v>
      </c>
      <c r="H115" s="2" t="s">
        <v>19</v>
      </c>
      <c r="I115" s="3" t="n">
        <v>45952</v>
      </c>
      <c r="J115" s="4" t="n">
        <v>2400</v>
      </c>
      <c r="K115" s="2" t="n">
        <v>15</v>
      </c>
      <c r="L115" s="2" t="n">
        <v>0</v>
      </c>
      <c r="M115" s="2" t="str">
        <f aca="false">IF($H115="Outstanding",MAX(0,Summary!$B$3-$F115),"")</f>
        <v/>
      </c>
      <c r="N115" s="2" t="str">
        <f aca="false">IF($M115="","",IF($M115=0,"Current",IF($M115&lt;=30,"1-30",IF($M115&lt;=60,"31-60",IF($M115&lt;=90,"61-90","90+")))))</f>
        <v/>
      </c>
      <c r="O115" s="4" t="n">
        <f aca="false">IF($H115="Outstanding",$G115,0)</f>
        <v>0</v>
      </c>
      <c r="P115" s="5" t="n">
        <f aca="false">$O115*IF($M115="",0,$M115)</f>
        <v>0</v>
      </c>
    </row>
    <row r="116" customFormat="false" ht="15" hidden="false" customHeight="false" outlineLevel="0" collapsed="false">
      <c r="A116" s="2" t="s">
        <v>168</v>
      </c>
      <c r="B116" s="2" t="s">
        <v>30</v>
      </c>
      <c r="C116" s="2" t="s">
        <v>31</v>
      </c>
      <c r="D116" s="3" t="n">
        <v>45938</v>
      </c>
      <c r="E116" s="2" t="n">
        <v>30</v>
      </c>
      <c r="F116" s="3" t="n">
        <v>45968</v>
      </c>
      <c r="G116" s="4" t="n">
        <v>12300</v>
      </c>
      <c r="H116" s="2" t="s">
        <v>19</v>
      </c>
      <c r="I116" s="3" t="n">
        <v>45985</v>
      </c>
      <c r="J116" s="4" t="n">
        <v>12300</v>
      </c>
      <c r="K116" s="2" t="n">
        <v>47</v>
      </c>
      <c r="L116" s="2" t="n">
        <v>17</v>
      </c>
      <c r="M116" s="2" t="str">
        <f aca="false">IF($H116="Outstanding",MAX(0,Summary!$B$3-$F116),"")</f>
        <v/>
      </c>
      <c r="N116" s="2" t="str">
        <f aca="false">IF($M116="","",IF($M116=0,"Current",IF($M116&lt;=30,"1-30",IF($M116&lt;=60,"31-60",IF($M116&lt;=90,"61-90","90+")))))</f>
        <v/>
      </c>
      <c r="O116" s="4" t="n">
        <f aca="false">IF($H116="Outstanding",$G116,0)</f>
        <v>0</v>
      </c>
      <c r="P116" s="5" t="n">
        <f aca="false">$O116*IF($M116="",0,$M116)</f>
        <v>0</v>
      </c>
    </row>
    <row r="117" customFormat="false" ht="15" hidden="false" customHeight="false" outlineLevel="0" collapsed="false">
      <c r="A117" s="2" t="s">
        <v>169</v>
      </c>
      <c r="B117" s="2" t="s">
        <v>27</v>
      </c>
      <c r="C117" s="2" t="s">
        <v>28</v>
      </c>
      <c r="D117" s="3" t="n">
        <v>45954</v>
      </c>
      <c r="E117" s="2" t="n">
        <v>45</v>
      </c>
      <c r="F117" s="3" t="n">
        <v>45999</v>
      </c>
      <c r="G117" s="4" t="n">
        <v>12450</v>
      </c>
      <c r="H117" s="2" t="s">
        <v>19</v>
      </c>
      <c r="I117" s="3" t="n">
        <v>46016</v>
      </c>
      <c r="J117" s="4" t="n">
        <v>12450</v>
      </c>
      <c r="K117" s="2" t="n">
        <v>62</v>
      </c>
      <c r="L117" s="2" t="n">
        <v>17</v>
      </c>
      <c r="M117" s="2" t="str">
        <f aca="false">IF($H117="Outstanding",MAX(0,Summary!$B$3-$F117),"")</f>
        <v/>
      </c>
      <c r="N117" s="2" t="str">
        <f aca="false">IF($M117="","",IF($M117=0,"Current",IF($M117&lt;=30,"1-30",IF($M117&lt;=60,"31-60",IF($M117&lt;=90,"61-90","90+")))))</f>
        <v/>
      </c>
      <c r="O117" s="4" t="n">
        <f aca="false">IF($H117="Outstanding",$G117,0)</f>
        <v>0</v>
      </c>
      <c r="P117" s="5" t="n">
        <f aca="false">$O117*IF($M117="",0,$M117)</f>
        <v>0</v>
      </c>
    </row>
    <row r="118" customFormat="false" ht="15" hidden="false" customHeight="false" outlineLevel="0" collapsed="false">
      <c r="A118" s="2" t="s">
        <v>170</v>
      </c>
      <c r="B118" s="2" t="s">
        <v>17</v>
      </c>
      <c r="C118" s="2" t="s">
        <v>18</v>
      </c>
      <c r="D118" s="3" t="n">
        <v>45944</v>
      </c>
      <c r="E118" s="2" t="n">
        <v>30</v>
      </c>
      <c r="F118" s="3" t="n">
        <v>45974</v>
      </c>
      <c r="G118" s="4" t="n">
        <v>7050</v>
      </c>
      <c r="H118" s="2" t="s">
        <v>19</v>
      </c>
      <c r="I118" s="3" t="n">
        <v>46031</v>
      </c>
      <c r="J118" s="4" t="n">
        <v>7050</v>
      </c>
      <c r="K118" s="2" t="n">
        <v>87</v>
      </c>
      <c r="L118" s="2" t="n">
        <v>57</v>
      </c>
      <c r="M118" s="2" t="str">
        <f aca="false">IF($H118="Outstanding",MAX(0,Summary!$B$3-$F118),"")</f>
        <v/>
      </c>
      <c r="N118" s="2" t="str">
        <f aca="false">IF($M118="","",IF($M118=0,"Current",IF($M118&lt;=30,"1-30",IF($M118&lt;=60,"31-60",IF($M118&lt;=90,"61-90","90+")))))</f>
        <v/>
      </c>
      <c r="O118" s="4" t="n">
        <f aca="false">IF($H118="Outstanding",$G118,0)</f>
        <v>0</v>
      </c>
      <c r="P118" s="5" t="n">
        <f aca="false">$O118*IF($M118="",0,$M118)</f>
        <v>0</v>
      </c>
    </row>
    <row r="119" customFormat="false" ht="15" hidden="false" customHeight="false" outlineLevel="0" collapsed="false">
      <c r="A119" s="2" t="s">
        <v>171</v>
      </c>
      <c r="B119" s="2" t="s">
        <v>52</v>
      </c>
      <c r="C119" s="2" t="s">
        <v>53</v>
      </c>
      <c r="D119" s="3" t="n">
        <v>45952</v>
      </c>
      <c r="E119" s="2" t="n">
        <v>30</v>
      </c>
      <c r="F119" s="3" t="n">
        <v>45982</v>
      </c>
      <c r="G119" s="4" t="n">
        <v>11250</v>
      </c>
      <c r="H119" s="2" t="s">
        <v>19</v>
      </c>
      <c r="I119" s="3" t="n">
        <v>46020</v>
      </c>
      <c r="J119" s="4" t="n">
        <v>11250</v>
      </c>
      <c r="K119" s="2" t="n">
        <v>68</v>
      </c>
      <c r="L119" s="2" t="n">
        <v>38</v>
      </c>
      <c r="M119" s="2" t="str">
        <f aca="false">IF($H119="Outstanding",MAX(0,Summary!$B$3-$F119),"")</f>
        <v/>
      </c>
      <c r="N119" s="2" t="str">
        <f aca="false">IF($M119="","",IF($M119=0,"Current",IF($M119&lt;=30,"1-30",IF($M119&lt;=60,"31-60",IF($M119&lt;=90,"61-90","90+")))))</f>
        <v/>
      </c>
      <c r="O119" s="4" t="n">
        <f aca="false">IF($H119="Outstanding",$G119,0)</f>
        <v>0</v>
      </c>
      <c r="P119" s="5" t="n">
        <f aca="false">$O119*IF($M119="",0,$M119)</f>
        <v>0</v>
      </c>
    </row>
    <row r="120" customFormat="false" ht="15" hidden="false" customHeight="false" outlineLevel="0" collapsed="false">
      <c r="A120" s="2" t="s">
        <v>172</v>
      </c>
      <c r="B120" s="2" t="s">
        <v>30</v>
      </c>
      <c r="C120" s="2" t="s">
        <v>31</v>
      </c>
      <c r="D120" s="3" t="n">
        <v>45933</v>
      </c>
      <c r="E120" s="2" t="n">
        <v>30</v>
      </c>
      <c r="F120" s="3" t="n">
        <v>45963</v>
      </c>
      <c r="G120" s="4" t="n">
        <v>5800</v>
      </c>
      <c r="H120" s="2" t="s">
        <v>19</v>
      </c>
      <c r="I120" s="3" t="n">
        <v>45985</v>
      </c>
      <c r="J120" s="4" t="n">
        <v>5800</v>
      </c>
      <c r="K120" s="2" t="n">
        <v>52</v>
      </c>
      <c r="L120" s="2" t="n">
        <v>20</v>
      </c>
      <c r="M120" s="2" t="str">
        <f aca="false">IF($H120="Outstanding",MAX(0,Summary!$B$3-$F120),"")</f>
        <v/>
      </c>
      <c r="N120" s="2" t="str">
        <f aca="false">IF($M120="","",IF($M120=0,"Current",IF($M120&lt;=30,"1-30",IF($M120&lt;=60,"31-60",IF($M120&lt;=90,"61-90","90+")))))</f>
        <v/>
      </c>
      <c r="O120" s="4" t="n">
        <f aca="false">IF($H120="Outstanding",$G120,0)</f>
        <v>0</v>
      </c>
      <c r="P120" s="5" t="n">
        <f aca="false">$O120*IF($M120="",0,$M120)</f>
        <v>0</v>
      </c>
    </row>
    <row r="121" customFormat="false" ht="15" hidden="false" customHeight="false" outlineLevel="0" collapsed="false">
      <c r="A121" s="2" t="s">
        <v>173</v>
      </c>
      <c r="B121" s="2" t="s">
        <v>84</v>
      </c>
      <c r="C121" s="2" t="s">
        <v>85</v>
      </c>
      <c r="D121" s="3" t="n">
        <v>45954</v>
      </c>
      <c r="E121" s="2" t="n">
        <v>30</v>
      </c>
      <c r="F121" s="3" t="n">
        <v>45984</v>
      </c>
      <c r="G121" s="4" t="n">
        <v>11600</v>
      </c>
      <c r="H121" s="2" t="s">
        <v>19</v>
      </c>
      <c r="I121" s="3" t="n">
        <v>46009</v>
      </c>
      <c r="J121" s="4" t="n">
        <v>11600</v>
      </c>
      <c r="K121" s="2" t="n">
        <v>55</v>
      </c>
      <c r="L121" s="2" t="n">
        <v>25</v>
      </c>
      <c r="M121" s="2" t="str">
        <f aca="false">IF($H121="Outstanding",MAX(0,Summary!$B$3-$F121),"")</f>
        <v/>
      </c>
      <c r="N121" s="2" t="str">
        <f aca="false">IF($M121="","",IF($M121=0,"Current",IF($M121&lt;=30,"1-30",IF($M121&lt;=60,"31-60",IF($M121&lt;=90,"61-90","90+")))))</f>
        <v/>
      </c>
      <c r="O121" s="4" t="n">
        <f aca="false">IF($H121="Outstanding",$G121,0)</f>
        <v>0</v>
      </c>
      <c r="P121" s="5" t="n">
        <f aca="false">$O121*IF($M121="",0,$M121)</f>
        <v>0</v>
      </c>
    </row>
    <row r="122" customFormat="false" ht="15" hidden="false" customHeight="false" outlineLevel="0" collapsed="false">
      <c r="A122" s="2" t="s">
        <v>174</v>
      </c>
      <c r="B122" s="2" t="s">
        <v>24</v>
      </c>
      <c r="C122" s="2" t="s">
        <v>25</v>
      </c>
      <c r="D122" s="3" t="n">
        <v>45936</v>
      </c>
      <c r="E122" s="2" t="n">
        <v>30</v>
      </c>
      <c r="F122" s="3" t="n">
        <v>45966</v>
      </c>
      <c r="G122" s="4" t="n">
        <v>4700</v>
      </c>
      <c r="H122" s="2" t="s">
        <v>19</v>
      </c>
      <c r="I122" s="3" t="n">
        <v>46003</v>
      </c>
      <c r="J122" s="4" t="n">
        <v>4700</v>
      </c>
      <c r="K122" s="2" t="n">
        <v>67</v>
      </c>
      <c r="L122" s="2" t="n">
        <v>37</v>
      </c>
      <c r="M122" s="2" t="str">
        <f aca="false">IF($H122="Outstanding",MAX(0,Summary!$B$3-$F122),"")</f>
        <v/>
      </c>
      <c r="N122" s="2" t="str">
        <f aca="false">IF($M122="","",IF($M122=0,"Current",IF($M122&lt;=30,"1-30",IF($M122&lt;=60,"31-60",IF($M122&lt;=90,"61-90","90+")))))</f>
        <v/>
      </c>
      <c r="O122" s="4" t="n">
        <f aca="false">IF($H122="Outstanding",$G122,0)</f>
        <v>0</v>
      </c>
      <c r="P122" s="5" t="n">
        <f aca="false">$O122*IF($M122="",0,$M122)</f>
        <v>0</v>
      </c>
    </row>
    <row r="123" customFormat="false" ht="15" hidden="false" customHeight="false" outlineLevel="0" collapsed="false">
      <c r="A123" s="2" t="s">
        <v>175</v>
      </c>
      <c r="B123" s="2" t="s">
        <v>47</v>
      </c>
      <c r="C123" s="2" t="s">
        <v>48</v>
      </c>
      <c r="D123" s="3" t="n">
        <v>45943</v>
      </c>
      <c r="E123" s="2" t="n">
        <v>15</v>
      </c>
      <c r="F123" s="3" t="n">
        <v>45958</v>
      </c>
      <c r="G123" s="4" t="n">
        <v>3300</v>
      </c>
      <c r="H123" s="2" t="s">
        <v>19</v>
      </c>
      <c r="I123" s="3" t="n">
        <v>45958</v>
      </c>
      <c r="J123" s="4" t="n">
        <v>3300</v>
      </c>
      <c r="K123" s="2" t="n">
        <v>15</v>
      </c>
      <c r="L123" s="2" t="n">
        <v>0</v>
      </c>
      <c r="M123" s="2" t="str">
        <f aca="false">IF($H123="Outstanding",MAX(0,Summary!$B$3-$F123),"")</f>
        <v/>
      </c>
      <c r="N123" s="2" t="str">
        <f aca="false">IF($M123="","",IF($M123=0,"Current",IF($M123&lt;=30,"1-30",IF($M123&lt;=60,"31-60",IF($M123&lt;=90,"61-90","90+")))))</f>
        <v/>
      </c>
      <c r="O123" s="4" t="n">
        <f aca="false">IF($H123="Outstanding",$G123,0)</f>
        <v>0</v>
      </c>
      <c r="P123" s="5" t="n">
        <f aca="false">$O123*IF($M123="",0,$M123)</f>
        <v>0</v>
      </c>
    </row>
    <row r="124" customFormat="false" ht="15" hidden="false" customHeight="false" outlineLevel="0" collapsed="false">
      <c r="A124" s="2" t="s">
        <v>176</v>
      </c>
      <c r="B124" s="2" t="s">
        <v>27</v>
      </c>
      <c r="C124" s="2" t="s">
        <v>28</v>
      </c>
      <c r="D124" s="3" t="n">
        <v>45944</v>
      </c>
      <c r="E124" s="2" t="n">
        <v>45</v>
      </c>
      <c r="F124" s="3" t="n">
        <v>45989</v>
      </c>
      <c r="G124" s="4" t="n">
        <v>19200</v>
      </c>
      <c r="H124" s="2" t="s">
        <v>19</v>
      </c>
      <c r="I124" s="3" t="n">
        <v>46007</v>
      </c>
      <c r="J124" s="4" t="n">
        <v>19200</v>
      </c>
      <c r="K124" s="2" t="n">
        <v>63</v>
      </c>
      <c r="L124" s="2" t="n">
        <v>18</v>
      </c>
      <c r="M124" s="2" t="str">
        <f aca="false">IF($H124="Outstanding",MAX(0,Summary!$B$3-$F124),"")</f>
        <v/>
      </c>
      <c r="N124" s="2" t="str">
        <f aca="false">IF($M124="","",IF($M124=0,"Current",IF($M124&lt;=30,"1-30",IF($M124&lt;=60,"31-60",IF($M124&lt;=90,"61-90","90+")))))</f>
        <v/>
      </c>
      <c r="O124" s="4" t="n">
        <f aca="false">IF($H124="Outstanding",$G124,0)</f>
        <v>0</v>
      </c>
      <c r="P124" s="5" t="n">
        <f aca="false">$O124*IF($M124="",0,$M124)</f>
        <v>0</v>
      </c>
    </row>
    <row r="125" customFormat="false" ht="15" hidden="false" customHeight="false" outlineLevel="0" collapsed="false">
      <c r="A125" s="2" t="s">
        <v>177</v>
      </c>
      <c r="B125" s="2" t="s">
        <v>40</v>
      </c>
      <c r="C125" s="2" t="s">
        <v>41</v>
      </c>
      <c r="D125" s="3" t="n">
        <v>45954</v>
      </c>
      <c r="E125" s="2" t="n">
        <v>30</v>
      </c>
      <c r="F125" s="3" t="n">
        <v>45984</v>
      </c>
      <c r="G125" s="4" t="n">
        <v>6950</v>
      </c>
      <c r="H125" s="2" t="s">
        <v>19</v>
      </c>
      <c r="I125" s="3" t="n">
        <v>46013</v>
      </c>
      <c r="J125" s="4" t="n">
        <v>6950</v>
      </c>
      <c r="K125" s="2" t="n">
        <v>59</v>
      </c>
      <c r="L125" s="2" t="n">
        <v>27</v>
      </c>
      <c r="M125" s="2" t="str">
        <f aca="false">IF($H125="Outstanding",MAX(0,Summary!$B$3-$F125),"")</f>
        <v/>
      </c>
      <c r="N125" s="2" t="str">
        <f aca="false">IF($M125="","",IF($M125=0,"Current",IF($M125&lt;=30,"1-30",IF($M125&lt;=60,"31-60",IF($M125&lt;=90,"61-90","90+")))))</f>
        <v/>
      </c>
      <c r="O125" s="4" t="n">
        <f aca="false">IF($H125="Outstanding",$G125,0)</f>
        <v>0</v>
      </c>
      <c r="P125" s="5" t="n">
        <f aca="false">$O125*IF($M125="",0,$M125)</f>
        <v>0</v>
      </c>
    </row>
    <row r="126" customFormat="false" ht="15" hidden="false" customHeight="false" outlineLevel="0" collapsed="false">
      <c r="A126" s="2" t="s">
        <v>178</v>
      </c>
      <c r="B126" s="2" t="s">
        <v>21</v>
      </c>
      <c r="C126" s="2" t="s">
        <v>22</v>
      </c>
      <c r="D126" s="3" t="n">
        <v>45940</v>
      </c>
      <c r="E126" s="2" t="n">
        <v>30</v>
      </c>
      <c r="F126" s="3" t="n">
        <v>45970</v>
      </c>
      <c r="G126" s="4" t="n">
        <v>14000</v>
      </c>
      <c r="H126" s="2" t="s">
        <v>19</v>
      </c>
      <c r="I126" s="3" t="n">
        <v>46001</v>
      </c>
      <c r="J126" s="4" t="n">
        <v>14000</v>
      </c>
      <c r="K126" s="2" t="n">
        <v>61</v>
      </c>
      <c r="L126" s="2" t="n">
        <v>31</v>
      </c>
      <c r="M126" s="2" t="str">
        <f aca="false">IF($H126="Outstanding",MAX(0,Summary!$B$3-$F126),"")</f>
        <v/>
      </c>
      <c r="N126" s="2" t="str">
        <f aca="false">IF($M126="","",IF($M126=0,"Current",IF($M126&lt;=30,"1-30",IF($M126&lt;=60,"31-60",IF($M126&lt;=90,"61-90","90+")))))</f>
        <v/>
      </c>
      <c r="O126" s="4" t="n">
        <f aca="false">IF($H126="Outstanding",$G126,0)</f>
        <v>0</v>
      </c>
      <c r="P126" s="5" t="n">
        <f aca="false">$O126*IF($M126="",0,$M126)</f>
        <v>0</v>
      </c>
    </row>
    <row r="127" customFormat="false" ht="15" hidden="false" customHeight="false" outlineLevel="0" collapsed="false">
      <c r="A127" s="2" t="s">
        <v>179</v>
      </c>
      <c r="B127" s="2" t="s">
        <v>60</v>
      </c>
      <c r="C127" s="2" t="s">
        <v>61</v>
      </c>
      <c r="D127" s="3" t="n">
        <v>45937</v>
      </c>
      <c r="E127" s="2" t="n">
        <v>15</v>
      </c>
      <c r="F127" s="3" t="n">
        <v>45952</v>
      </c>
      <c r="G127" s="4" t="n">
        <v>2200</v>
      </c>
      <c r="H127" s="2" t="s">
        <v>19</v>
      </c>
      <c r="I127" s="3" t="n">
        <v>45957</v>
      </c>
      <c r="J127" s="4" t="n">
        <v>2200</v>
      </c>
      <c r="K127" s="2" t="n">
        <v>20</v>
      </c>
      <c r="L127" s="2" t="n">
        <v>3</v>
      </c>
      <c r="M127" s="2" t="str">
        <f aca="false">IF($H127="Outstanding",MAX(0,Summary!$B$3-$F127),"")</f>
        <v/>
      </c>
      <c r="N127" s="2" t="str">
        <f aca="false">IF($M127="","",IF($M127=0,"Current",IF($M127&lt;=30,"1-30",IF($M127&lt;=60,"31-60",IF($M127&lt;=90,"61-90","90+")))))</f>
        <v/>
      </c>
      <c r="O127" s="4" t="n">
        <f aca="false">IF($H127="Outstanding",$G127,0)</f>
        <v>0</v>
      </c>
      <c r="P127" s="5" t="n">
        <f aca="false">$O127*IF($M127="",0,$M127)</f>
        <v>0</v>
      </c>
    </row>
    <row r="128" customFormat="false" ht="15" hidden="false" customHeight="false" outlineLevel="0" collapsed="false">
      <c r="A128" s="2" t="s">
        <v>180</v>
      </c>
      <c r="B128" s="2" t="s">
        <v>40</v>
      </c>
      <c r="C128" s="2" t="s">
        <v>41</v>
      </c>
      <c r="D128" s="3" t="n">
        <v>45978</v>
      </c>
      <c r="E128" s="2" t="n">
        <v>30</v>
      </c>
      <c r="F128" s="3" t="n">
        <v>46008</v>
      </c>
      <c r="G128" s="4" t="n">
        <v>10050</v>
      </c>
      <c r="H128" s="2" t="s">
        <v>19</v>
      </c>
      <c r="I128" s="3" t="n">
        <v>46059</v>
      </c>
      <c r="J128" s="4" t="n">
        <v>10050</v>
      </c>
      <c r="K128" s="2" t="n">
        <v>81</v>
      </c>
      <c r="L128" s="2" t="n">
        <v>51</v>
      </c>
      <c r="M128" s="2" t="str">
        <f aca="false">IF($H128="Outstanding",MAX(0,Summary!$B$3-$F128),"")</f>
        <v/>
      </c>
      <c r="N128" s="2" t="str">
        <f aca="false">IF($M128="","",IF($M128=0,"Current",IF($M128&lt;=30,"1-30",IF($M128&lt;=60,"31-60",IF($M128&lt;=90,"61-90","90+")))))</f>
        <v/>
      </c>
      <c r="O128" s="4" t="n">
        <f aca="false">IF($H128="Outstanding",$G128,0)</f>
        <v>0</v>
      </c>
      <c r="P128" s="5" t="n">
        <f aca="false">$O128*IF($M128="",0,$M128)</f>
        <v>0</v>
      </c>
    </row>
    <row r="129" customFormat="false" ht="15" hidden="false" customHeight="false" outlineLevel="0" collapsed="false">
      <c r="A129" s="2" t="s">
        <v>181</v>
      </c>
      <c r="B129" s="2" t="s">
        <v>88</v>
      </c>
      <c r="C129" s="2" t="s">
        <v>89</v>
      </c>
      <c r="D129" s="3" t="n">
        <v>45973</v>
      </c>
      <c r="E129" s="2" t="n">
        <v>30</v>
      </c>
      <c r="F129" s="3" t="n">
        <v>46003</v>
      </c>
      <c r="G129" s="4" t="n">
        <v>2350</v>
      </c>
      <c r="H129" s="2" t="s">
        <v>19</v>
      </c>
      <c r="I129" s="3" t="n">
        <v>46010</v>
      </c>
      <c r="J129" s="4" t="n">
        <v>2350</v>
      </c>
      <c r="K129" s="2" t="n">
        <v>37</v>
      </c>
      <c r="L129" s="2" t="n">
        <v>7</v>
      </c>
      <c r="M129" s="2" t="str">
        <f aca="false">IF($H129="Outstanding",MAX(0,Summary!$B$3-$F129),"")</f>
        <v/>
      </c>
      <c r="N129" s="2" t="str">
        <f aca="false">IF($M129="","",IF($M129=0,"Current",IF($M129&lt;=30,"1-30",IF($M129&lt;=60,"31-60",IF($M129&lt;=90,"61-90","90+")))))</f>
        <v/>
      </c>
      <c r="O129" s="4" t="n">
        <f aca="false">IF($H129="Outstanding",$G129,0)</f>
        <v>0</v>
      </c>
      <c r="P129" s="5" t="n">
        <f aca="false">$O129*IF($M129="",0,$M129)</f>
        <v>0</v>
      </c>
    </row>
    <row r="130" customFormat="false" ht="15" hidden="false" customHeight="false" outlineLevel="0" collapsed="false">
      <c r="A130" s="2" t="s">
        <v>182</v>
      </c>
      <c r="B130" s="2" t="s">
        <v>27</v>
      </c>
      <c r="C130" s="2" t="s">
        <v>28</v>
      </c>
      <c r="D130" s="3" t="n">
        <v>45971</v>
      </c>
      <c r="E130" s="2" t="n">
        <v>45</v>
      </c>
      <c r="F130" s="3" t="n">
        <v>46016</v>
      </c>
      <c r="G130" s="4" t="n">
        <v>24950</v>
      </c>
      <c r="H130" s="2" t="s">
        <v>19</v>
      </c>
      <c r="I130" s="3" t="n">
        <v>46048</v>
      </c>
      <c r="J130" s="4" t="n">
        <v>24950</v>
      </c>
      <c r="K130" s="2" t="n">
        <v>77</v>
      </c>
      <c r="L130" s="2" t="n">
        <v>32</v>
      </c>
      <c r="M130" s="2" t="str">
        <f aca="false">IF($H130="Outstanding",MAX(0,Summary!$B$3-$F130),"")</f>
        <v/>
      </c>
      <c r="N130" s="2" t="str">
        <f aca="false">IF($M130="","",IF($M130=0,"Current",IF($M130&lt;=30,"1-30",IF($M130&lt;=60,"31-60",IF($M130&lt;=90,"61-90","90+")))))</f>
        <v/>
      </c>
      <c r="O130" s="4" t="n">
        <f aca="false">IF($H130="Outstanding",$G130,0)</f>
        <v>0</v>
      </c>
      <c r="P130" s="5" t="n">
        <f aca="false">$O130*IF($M130="",0,$M130)</f>
        <v>0</v>
      </c>
    </row>
    <row r="131" customFormat="false" ht="15" hidden="false" customHeight="false" outlineLevel="0" collapsed="false">
      <c r="A131" s="2" t="s">
        <v>183</v>
      </c>
      <c r="B131" s="2" t="s">
        <v>84</v>
      </c>
      <c r="C131" s="2" t="s">
        <v>85</v>
      </c>
      <c r="D131" s="3" t="n">
        <v>45986</v>
      </c>
      <c r="E131" s="2" t="n">
        <v>30</v>
      </c>
      <c r="F131" s="3" t="n">
        <v>46016</v>
      </c>
      <c r="G131" s="4" t="n">
        <v>12650</v>
      </c>
      <c r="H131" s="2" t="s">
        <v>19</v>
      </c>
      <c r="I131" s="3" t="n">
        <v>46013</v>
      </c>
      <c r="J131" s="4" t="n">
        <v>12650</v>
      </c>
      <c r="K131" s="2" t="n">
        <v>27</v>
      </c>
      <c r="L131" s="2" t="n">
        <v>-5</v>
      </c>
      <c r="M131" s="2" t="str">
        <f aca="false">IF($H131="Outstanding",MAX(0,Summary!$B$3-$F131),"")</f>
        <v/>
      </c>
      <c r="N131" s="2" t="str">
        <f aca="false">IF($M131="","",IF($M131=0,"Current",IF($M131&lt;=30,"1-30",IF($M131&lt;=60,"31-60",IF($M131&lt;=90,"61-90","90+")))))</f>
        <v/>
      </c>
      <c r="O131" s="4" t="n">
        <f aca="false">IF($H131="Outstanding",$G131,0)</f>
        <v>0</v>
      </c>
      <c r="P131" s="5" t="n">
        <f aca="false">$O131*IF($M131="",0,$M131)</f>
        <v>0</v>
      </c>
    </row>
    <row r="132" customFormat="false" ht="15" hidden="false" customHeight="false" outlineLevel="0" collapsed="false">
      <c r="A132" s="2" t="s">
        <v>184</v>
      </c>
      <c r="B132" s="2" t="s">
        <v>47</v>
      </c>
      <c r="C132" s="2" t="s">
        <v>48</v>
      </c>
      <c r="D132" s="3" t="n">
        <v>45981</v>
      </c>
      <c r="E132" s="2" t="n">
        <v>15</v>
      </c>
      <c r="F132" s="3" t="n">
        <v>45996</v>
      </c>
      <c r="G132" s="4" t="n">
        <v>3300</v>
      </c>
      <c r="H132" s="2" t="s">
        <v>19</v>
      </c>
      <c r="I132" s="3" t="n">
        <v>45996</v>
      </c>
      <c r="J132" s="4" t="n">
        <v>3300</v>
      </c>
      <c r="K132" s="2" t="n">
        <v>15</v>
      </c>
      <c r="L132" s="2" t="n">
        <v>0</v>
      </c>
      <c r="M132" s="2" t="str">
        <f aca="false">IF($H132="Outstanding",MAX(0,Summary!$B$3-$F132),"")</f>
        <v/>
      </c>
      <c r="N132" s="2" t="str">
        <f aca="false">IF($M132="","",IF($M132=0,"Current",IF($M132&lt;=30,"1-30",IF($M132&lt;=60,"31-60",IF($M132&lt;=90,"61-90","90+")))))</f>
        <v/>
      </c>
      <c r="O132" s="4" t="n">
        <f aca="false">IF($H132="Outstanding",$G132,0)</f>
        <v>0</v>
      </c>
      <c r="P132" s="5" t="n">
        <f aca="false">$O132*IF($M132="",0,$M132)</f>
        <v>0</v>
      </c>
    </row>
    <row r="133" customFormat="false" ht="15" hidden="false" customHeight="false" outlineLevel="0" collapsed="false">
      <c r="A133" s="2" t="s">
        <v>185</v>
      </c>
      <c r="B133" s="2" t="s">
        <v>52</v>
      </c>
      <c r="C133" s="2" t="s">
        <v>53</v>
      </c>
      <c r="D133" s="3" t="n">
        <v>45985</v>
      </c>
      <c r="E133" s="2" t="n">
        <v>30</v>
      </c>
      <c r="F133" s="3" t="n">
        <v>46015</v>
      </c>
      <c r="G133" s="4" t="n">
        <v>10400</v>
      </c>
      <c r="H133" s="2" t="s">
        <v>19</v>
      </c>
      <c r="I133" s="3" t="n">
        <v>46036</v>
      </c>
      <c r="J133" s="4" t="n">
        <v>10400</v>
      </c>
      <c r="K133" s="2" t="n">
        <v>51</v>
      </c>
      <c r="L133" s="2" t="n">
        <v>21</v>
      </c>
      <c r="M133" s="2" t="str">
        <f aca="false">IF($H133="Outstanding",MAX(0,Summary!$B$3-$F133),"")</f>
        <v/>
      </c>
      <c r="N133" s="2" t="str">
        <f aca="false">IF($M133="","",IF($M133=0,"Current",IF($M133&lt;=30,"1-30",IF($M133&lt;=60,"31-60",IF($M133&lt;=90,"61-90","90+")))))</f>
        <v/>
      </c>
      <c r="O133" s="4" t="n">
        <f aca="false">IF($H133="Outstanding",$G133,0)</f>
        <v>0</v>
      </c>
      <c r="P133" s="5" t="n">
        <f aca="false">$O133*IF($M133="",0,$M133)</f>
        <v>0</v>
      </c>
    </row>
    <row r="134" customFormat="false" ht="15" hidden="false" customHeight="false" outlineLevel="0" collapsed="false">
      <c r="A134" s="2" t="s">
        <v>186</v>
      </c>
      <c r="B134" s="2" t="s">
        <v>55</v>
      </c>
      <c r="C134" s="2" t="s">
        <v>56</v>
      </c>
      <c r="D134" s="3" t="n">
        <v>45971</v>
      </c>
      <c r="E134" s="2" t="n">
        <v>30</v>
      </c>
      <c r="F134" s="3" t="n">
        <v>46001</v>
      </c>
      <c r="G134" s="4" t="n">
        <v>3300</v>
      </c>
      <c r="H134" s="2" t="s">
        <v>19</v>
      </c>
      <c r="I134" s="3" t="n">
        <v>46020</v>
      </c>
      <c r="J134" s="4" t="n">
        <v>3300</v>
      </c>
      <c r="K134" s="2" t="n">
        <v>49</v>
      </c>
      <c r="L134" s="2" t="n">
        <v>18</v>
      </c>
      <c r="M134" s="2" t="str">
        <f aca="false">IF($H134="Outstanding",MAX(0,Summary!$B$3-$F134),"")</f>
        <v/>
      </c>
      <c r="N134" s="2" t="str">
        <f aca="false">IF($M134="","",IF($M134=0,"Current",IF($M134&lt;=30,"1-30",IF($M134&lt;=60,"31-60",IF($M134&lt;=90,"61-90","90+")))))</f>
        <v/>
      </c>
      <c r="O134" s="4" t="n">
        <f aca="false">IF($H134="Outstanding",$G134,0)</f>
        <v>0</v>
      </c>
      <c r="P134" s="5" t="n">
        <f aca="false">$O134*IF($M134="",0,$M134)</f>
        <v>0</v>
      </c>
    </row>
    <row r="135" customFormat="false" ht="15" hidden="false" customHeight="false" outlineLevel="0" collapsed="false">
      <c r="A135" s="2" t="s">
        <v>187</v>
      </c>
      <c r="B135" s="2" t="s">
        <v>47</v>
      </c>
      <c r="C135" s="2" t="s">
        <v>48</v>
      </c>
      <c r="D135" s="3" t="n">
        <v>45972</v>
      </c>
      <c r="E135" s="2" t="n">
        <v>15</v>
      </c>
      <c r="F135" s="3" t="n">
        <v>45987</v>
      </c>
      <c r="G135" s="4" t="n">
        <v>2100</v>
      </c>
      <c r="H135" s="2" t="s">
        <v>19</v>
      </c>
      <c r="I135" s="3" t="n">
        <v>45992</v>
      </c>
      <c r="J135" s="4" t="n">
        <v>2100</v>
      </c>
      <c r="K135" s="2" t="n">
        <v>20</v>
      </c>
      <c r="L135" s="2" t="n">
        <v>5</v>
      </c>
      <c r="M135" s="2" t="str">
        <f aca="false">IF($H135="Outstanding",MAX(0,Summary!$B$3-$F135),"")</f>
        <v/>
      </c>
      <c r="N135" s="2" t="str">
        <f aca="false">IF($M135="","",IF($M135=0,"Current",IF($M135&lt;=30,"1-30",IF($M135&lt;=60,"31-60",IF($M135&lt;=90,"61-90","90+")))))</f>
        <v/>
      </c>
      <c r="O135" s="4" t="n">
        <f aca="false">IF($H135="Outstanding",$G135,0)</f>
        <v>0</v>
      </c>
      <c r="P135" s="5" t="n">
        <f aca="false">$O135*IF($M135="",0,$M135)</f>
        <v>0</v>
      </c>
    </row>
    <row r="136" customFormat="false" ht="15" hidden="false" customHeight="false" outlineLevel="0" collapsed="false">
      <c r="A136" s="2" t="s">
        <v>188</v>
      </c>
      <c r="B136" s="2" t="s">
        <v>37</v>
      </c>
      <c r="C136" s="2" t="s">
        <v>38</v>
      </c>
      <c r="D136" s="3" t="n">
        <v>45967</v>
      </c>
      <c r="E136" s="2" t="n">
        <v>30</v>
      </c>
      <c r="F136" s="3" t="n">
        <v>45997</v>
      </c>
      <c r="G136" s="4" t="n">
        <v>8500</v>
      </c>
      <c r="H136" s="2" t="s">
        <v>19</v>
      </c>
      <c r="I136" s="3" t="n">
        <v>46013</v>
      </c>
      <c r="J136" s="4" t="n">
        <v>8500</v>
      </c>
      <c r="K136" s="2" t="n">
        <v>46</v>
      </c>
      <c r="L136" s="2" t="n">
        <v>15</v>
      </c>
      <c r="M136" s="2" t="str">
        <f aca="false">IF($H136="Outstanding",MAX(0,Summary!$B$3-$F136),"")</f>
        <v/>
      </c>
      <c r="N136" s="2" t="str">
        <f aca="false">IF($M136="","",IF($M136=0,"Current",IF($M136&lt;=30,"1-30",IF($M136&lt;=60,"31-60",IF($M136&lt;=90,"61-90","90+")))))</f>
        <v/>
      </c>
      <c r="O136" s="4" t="n">
        <f aca="false">IF($H136="Outstanding",$G136,0)</f>
        <v>0</v>
      </c>
      <c r="P136" s="5" t="n">
        <f aca="false">$O136*IF($M136="",0,$M136)</f>
        <v>0</v>
      </c>
    </row>
    <row r="137" customFormat="false" ht="15" hidden="false" customHeight="false" outlineLevel="0" collapsed="false">
      <c r="A137" s="2" t="s">
        <v>189</v>
      </c>
      <c r="B137" s="2" t="s">
        <v>77</v>
      </c>
      <c r="C137" s="2" t="s">
        <v>78</v>
      </c>
      <c r="D137" s="3" t="n">
        <v>45966</v>
      </c>
      <c r="E137" s="2" t="n">
        <v>30</v>
      </c>
      <c r="F137" s="3" t="n">
        <v>45996</v>
      </c>
      <c r="G137" s="4" t="n">
        <v>30250</v>
      </c>
      <c r="H137" s="2" t="s">
        <v>19</v>
      </c>
      <c r="I137" s="3" t="n">
        <v>46006</v>
      </c>
      <c r="J137" s="4" t="n">
        <v>30250</v>
      </c>
      <c r="K137" s="2" t="n">
        <v>40</v>
      </c>
      <c r="L137" s="2" t="n">
        <v>8</v>
      </c>
      <c r="M137" s="2" t="str">
        <f aca="false">IF($H137="Outstanding",MAX(0,Summary!$B$3-$F137),"")</f>
        <v/>
      </c>
      <c r="N137" s="2" t="str">
        <f aca="false">IF($M137="","",IF($M137=0,"Current",IF($M137&lt;=30,"1-30",IF($M137&lt;=60,"31-60",IF($M137&lt;=90,"61-90","90+")))))</f>
        <v/>
      </c>
      <c r="O137" s="4" t="n">
        <f aca="false">IF($H137="Outstanding",$G137,0)</f>
        <v>0</v>
      </c>
      <c r="P137" s="5" t="n">
        <f aca="false">$O137*IF($M137="",0,$M137)</f>
        <v>0</v>
      </c>
    </row>
    <row r="138" customFormat="false" ht="15" hidden="false" customHeight="false" outlineLevel="0" collapsed="false">
      <c r="A138" s="2" t="s">
        <v>190</v>
      </c>
      <c r="B138" s="2" t="s">
        <v>43</v>
      </c>
      <c r="C138" s="2" t="s">
        <v>44</v>
      </c>
      <c r="D138" s="3" t="n">
        <v>45964</v>
      </c>
      <c r="E138" s="2" t="n">
        <v>30</v>
      </c>
      <c r="F138" s="3" t="n">
        <v>45994</v>
      </c>
      <c r="G138" s="4" t="n">
        <v>11300</v>
      </c>
      <c r="H138" s="2" t="s">
        <v>19</v>
      </c>
      <c r="I138" s="3" t="n">
        <v>45999</v>
      </c>
      <c r="J138" s="4" t="n">
        <v>11300</v>
      </c>
      <c r="K138" s="2" t="n">
        <v>35</v>
      </c>
      <c r="L138" s="2" t="n">
        <v>3</v>
      </c>
      <c r="M138" s="2" t="str">
        <f aca="false">IF($H138="Outstanding",MAX(0,Summary!$B$3-$F138),"")</f>
        <v/>
      </c>
      <c r="N138" s="2" t="str">
        <f aca="false">IF($M138="","",IF($M138=0,"Current",IF($M138&lt;=30,"1-30",IF($M138&lt;=60,"31-60",IF($M138&lt;=90,"61-90","90+")))))</f>
        <v/>
      </c>
      <c r="O138" s="4" t="n">
        <f aca="false">IF($H138="Outstanding",$G138,0)</f>
        <v>0</v>
      </c>
      <c r="P138" s="5" t="n">
        <f aca="false">$O138*IF($M138="",0,$M138)</f>
        <v>0</v>
      </c>
    </row>
    <row r="139" customFormat="false" ht="15" hidden="false" customHeight="false" outlineLevel="0" collapsed="false">
      <c r="A139" s="2" t="s">
        <v>191</v>
      </c>
      <c r="B139" s="2" t="s">
        <v>52</v>
      </c>
      <c r="C139" s="2" t="s">
        <v>53</v>
      </c>
      <c r="D139" s="3" t="n">
        <v>45967</v>
      </c>
      <c r="E139" s="2" t="n">
        <v>30</v>
      </c>
      <c r="F139" s="3" t="n">
        <v>45997</v>
      </c>
      <c r="G139" s="4" t="n">
        <v>6000</v>
      </c>
      <c r="H139" s="2" t="s">
        <v>19</v>
      </c>
      <c r="I139" s="3" t="n">
        <v>46020</v>
      </c>
      <c r="J139" s="4" t="n">
        <v>6000</v>
      </c>
      <c r="K139" s="2" t="n">
        <v>53</v>
      </c>
      <c r="L139" s="2" t="n">
        <v>22</v>
      </c>
      <c r="M139" s="2" t="str">
        <f aca="false">IF($H139="Outstanding",MAX(0,Summary!$B$3-$F139),"")</f>
        <v/>
      </c>
      <c r="N139" s="2" t="str">
        <f aca="false">IF($M139="","",IF($M139=0,"Current",IF($M139&lt;=30,"1-30",IF($M139&lt;=60,"31-60",IF($M139&lt;=90,"61-90","90+")))))</f>
        <v/>
      </c>
      <c r="O139" s="4" t="n">
        <f aca="false">IF($H139="Outstanding",$G139,0)</f>
        <v>0</v>
      </c>
      <c r="P139" s="5" t="n">
        <f aca="false">$O139*IF($M139="",0,$M139)</f>
        <v>0</v>
      </c>
    </row>
    <row r="140" customFormat="false" ht="15" hidden="false" customHeight="false" outlineLevel="0" collapsed="false">
      <c r="A140" s="2" t="s">
        <v>192</v>
      </c>
      <c r="B140" s="2" t="s">
        <v>30</v>
      </c>
      <c r="C140" s="2" t="s">
        <v>31</v>
      </c>
      <c r="D140" s="3" t="n">
        <v>46015</v>
      </c>
      <c r="E140" s="2" t="n">
        <v>30</v>
      </c>
      <c r="F140" s="3" t="n">
        <v>46045</v>
      </c>
      <c r="G140" s="4" t="n">
        <v>10500</v>
      </c>
      <c r="H140" s="2" t="s">
        <v>19</v>
      </c>
      <c r="I140" s="3" t="n">
        <v>46069</v>
      </c>
      <c r="J140" s="4" t="n">
        <v>10500</v>
      </c>
      <c r="K140" s="2" t="n">
        <v>54</v>
      </c>
      <c r="L140" s="2" t="n">
        <v>22</v>
      </c>
      <c r="M140" s="2" t="str">
        <f aca="false">IF($H140="Outstanding",MAX(0,Summary!$B$3-$F140),"")</f>
        <v/>
      </c>
      <c r="N140" s="2" t="str">
        <f aca="false">IF($M140="","",IF($M140=0,"Current",IF($M140&lt;=30,"1-30",IF($M140&lt;=60,"31-60",IF($M140&lt;=90,"61-90","90+")))))</f>
        <v/>
      </c>
      <c r="O140" s="4" t="n">
        <f aca="false">IF($H140="Outstanding",$G140,0)</f>
        <v>0</v>
      </c>
      <c r="P140" s="5" t="n">
        <f aca="false">$O140*IF($M140="",0,$M140)</f>
        <v>0</v>
      </c>
    </row>
    <row r="141" customFormat="false" ht="15" hidden="false" customHeight="false" outlineLevel="0" collapsed="false">
      <c r="A141" s="2" t="s">
        <v>193</v>
      </c>
      <c r="B141" s="2" t="s">
        <v>88</v>
      </c>
      <c r="C141" s="2" t="s">
        <v>89</v>
      </c>
      <c r="D141" s="3" t="n">
        <v>45993</v>
      </c>
      <c r="E141" s="2" t="n">
        <v>30</v>
      </c>
      <c r="F141" s="3" t="n">
        <v>46023</v>
      </c>
      <c r="G141" s="4" t="n">
        <v>2650</v>
      </c>
      <c r="H141" s="2" t="s">
        <v>19</v>
      </c>
      <c r="I141" s="3" t="n">
        <v>46027</v>
      </c>
      <c r="J141" s="4" t="n">
        <v>2650</v>
      </c>
      <c r="K141" s="2" t="n">
        <v>34</v>
      </c>
      <c r="L141" s="2" t="n">
        <v>2</v>
      </c>
      <c r="M141" s="2" t="str">
        <f aca="false">IF($H141="Outstanding",MAX(0,Summary!$B$3-$F141),"")</f>
        <v/>
      </c>
      <c r="N141" s="2" t="str">
        <f aca="false">IF($M141="","",IF($M141=0,"Current",IF($M141&lt;=30,"1-30",IF($M141&lt;=60,"31-60",IF($M141&lt;=90,"61-90","90+")))))</f>
        <v/>
      </c>
      <c r="O141" s="4" t="n">
        <f aca="false">IF($H141="Outstanding",$G141,0)</f>
        <v>0</v>
      </c>
      <c r="P141" s="5" t="n">
        <f aca="false">$O141*IF($M141="",0,$M141)</f>
        <v>0</v>
      </c>
    </row>
    <row r="142" customFormat="false" ht="15" hidden="false" customHeight="false" outlineLevel="0" collapsed="false">
      <c r="A142" s="2" t="s">
        <v>194</v>
      </c>
      <c r="B142" s="2" t="s">
        <v>43</v>
      </c>
      <c r="C142" s="2" t="s">
        <v>44</v>
      </c>
      <c r="D142" s="3" t="n">
        <v>46016</v>
      </c>
      <c r="E142" s="2" t="n">
        <v>30</v>
      </c>
      <c r="F142" s="3" t="n">
        <v>46046</v>
      </c>
      <c r="G142" s="4" t="n">
        <v>24450</v>
      </c>
      <c r="H142" s="2" t="s">
        <v>19</v>
      </c>
      <c r="I142" s="3" t="n">
        <v>46055</v>
      </c>
      <c r="J142" s="4" t="n">
        <v>24450</v>
      </c>
      <c r="K142" s="2" t="n">
        <v>39</v>
      </c>
      <c r="L142" s="2" t="n">
        <v>8</v>
      </c>
      <c r="M142" s="2" t="str">
        <f aca="false">IF($H142="Outstanding",MAX(0,Summary!$B$3-$F142),"")</f>
        <v/>
      </c>
      <c r="N142" s="2" t="str">
        <f aca="false">IF($M142="","",IF($M142=0,"Current",IF($M142&lt;=30,"1-30",IF($M142&lt;=60,"31-60",IF($M142&lt;=90,"61-90","90+")))))</f>
        <v/>
      </c>
      <c r="O142" s="4" t="n">
        <f aca="false">IF($H142="Outstanding",$G142,0)</f>
        <v>0</v>
      </c>
      <c r="P142" s="5" t="n">
        <f aca="false">$O142*IF($M142="",0,$M142)</f>
        <v>0</v>
      </c>
    </row>
    <row r="143" customFormat="false" ht="15" hidden="false" customHeight="false" outlineLevel="0" collapsed="false">
      <c r="A143" s="2" t="s">
        <v>195</v>
      </c>
      <c r="B143" s="2" t="s">
        <v>24</v>
      </c>
      <c r="C143" s="2" t="s">
        <v>25</v>
      </c>
      <c r="D143" s="3" t="n">
        <v>46007</v>
      </c>
      <c r="E143" s="2" t="n">
        <v>30</v>
      </c>
      <c r="F143" s="3" t="n">
        <v>46037</v>
      </c>
      <c r="G143" s="4" t="n">
        <v>5000</v>
      </c>
      <c r="H143" s="2" t="s">
        <v>19</v>
      </c>
      <c r="I143" s="3" t="n">
        <v>46076</v>
      </c>
      <c r="J143" s="4" t="n">
        <v>5000</v>
      </c>
      <c r="K143" s="2" t="n">
        <v>69</v>
      </c>
      <c r="L143" s="2" t="n">
        <v>39</v>
      </c>
      <c r="M143" s="2" t="str">
        <f aca="false">IF($H143="Outstanding",MAX(0,Summary!$B$3-$F143),"")</f>
        <v/>
      </c>
      <c r="N143" s="2" t="str">
        <f aca="false">IF($M143="","",IF($M143=0,"Current",IF($M143&lt;=30,"1-30",IF($M143&lt;=60,"31-60",IF($M143&lt;=90,"61-90","90+")))))</f>
        <v/>
      </c>
      <c r="O143" s="4" t="n">
        <f aca="false">IF($H143="Outstanding",$G143,0)</f>
        <v>0</v>
      </c>
      <c r="P143" s="5" t="n">
        <f aca="false">$O143*IF($M143="",0,$M143)</f>
        <v>0</v>
      </c>
    </row>
    <row r="144" customFormat="false" ht="15" hidden="false" customHeight="false" outlineLevel="0" collapsed="false">
      <c r="A144" s="2" t="s">
        <v>196</v>
      </c>
      <c r="B144" s="2" t="s">
        <v>88</v>
      </c>
      <c r="C144" s="2" t="s">
        <v>89</v>
      </c>
      <c r="D144" s="3" t="n">
        <v>46006</v>
      </c>
      <c r="E144" s="2" t="n">
        <v>30</v>
      </c>
      <c r="F144" s="3" t="n">
        <v>46036</v>
      </c>
      <c r="G144" s="4" t="n">
        <v>3550</v>
      </c>
      <c r="H144" s="2" t="s">
        <v>19</v>
      </c>
      <c r="I144" s="3" t="n">
        <v>46041</v>
      </c>
      <c r="J144" s="4" t="n">
        <v>3550</v>
      </c>
      <c r="K144" s="2" t="n">
        <v>35</v>
      </c>
      <c r="L144" s="2" t="n">
        <v>4</v>
      </c>
      <c r="M144" s="2" t="str">
        <f aca="false">IF($H144="Outstanding",MAX(0,Summary!$B$3-$F144),"")</f>
        <v/>
      </c>
      <c r="N144" s="2" t="str">
        <f aca="false">IF($M144="","",IF($M144=0,"Current",IF($M144&lt;=30,"1-30",IF($M144&lt;=60,"31-60",IF($M144&lt;=90,"61-90","90+")))))</f>
        <v/>
      </c>
      <c r="O144" s="4" t="n">
        <f aca="false">IF($H144="Outstanding",$G144,0)</f>
        <v>0</v>
      </c>
      <c r="P144" s="5" t="n">
        <f aca="false">$O144*IF($M144="",0,$M144)</f>
        <v>0</v>
      </c>
    </row>
    <row r="145" customFormat="false" ht="15" hidden="false" customHeight="false" outlineLevel="0" collapsed="false">
      <c r="A145" s="2" t="s">
        <v>197</v>
      </c>
      <c r="B145" s="2" t="s">
        <v>60</v>
      </c>
      <c r="C145" s="2" t="s">
        <v>61</v>
      </c>
      <c r="D145" s="3" t="n">
        <v>46006</v>
      </c>
      <c r="E145" s="2" t="n">
        <v>15</v>
      </c>
      <c r="F145" s="3" t="n">
        <v>46021</v>
      </c>
      <c r="G145" s="4" t="n">
        <v>2000</v>
      </c>
      <c r="H145" s="2" t="s">
        <v>19</v>
      </c>
      <c r="I145" s="3" t="n">
        <v>46021</v>
      </c>
      <c r="J145" s="4" t="n">
        <v>2000</v>
      </c>
      <c r="K145" s="2" t="n">
        <v>15</v>
      </c>
      <c r="L145" s="2" t="n">
        <v>0</v>
      </c>
      <c r="M145" s="2" t="str">
        <f aca="false">IF($H145="Outstanding",MAX(0,Summary!$B$3-$F145),"")</f>
        <v/>
      </c>
      <c r="N145" s="2" t="str">
        <f aca="false">IF($M145="","",IF($M145=0,"Current",IF($M145&lt;=30,"1-30",IF($M145&lt;=60,"31-60",IF($M145&lt;=90,"61-90","90+")))))</f>
        <v/>
      </c>
      <c r="O145" s="4" t="n">
        <f aca="false">IF($H145="Outstanding",$G145,0)</f>
        <v>0</v>
      </c>
      <c r="P145" s="5" t="n">
        <f aca="false">$O145*IF($M145="",0,$M145)</f>
        <v>0</v>
      </c>
    </row>
    <row r="146" customFormat="false" ht="15" hidden="false" customHeight="false" outlineLevel="0" collapsed="false">
      <c r="A146" s="2" t="s">
        <v>198</v>
      </c>
      <c r="B146" s="2" t="s">
        <v>55</v>
      </c>
      <c r="C146" s="2" t="s">
        <v>56</v>
      </c>
      <c r="D146" s="3" t="n">
        <v>46013</v>
      </c>
      <c r="E146" s="2" t="n">
        <v>30</v>
      </c>
      <c r="F146" s="3" t="n">
        <v>46043</v>
      </c>
      <c r="G146" s="4" t="n">
        <v>10450</v>
      </c>
      <c r="H146" s="2" t="s">
        <v>19</v>
      </c>
      <c r="I146" s="3" t="n">
        <v>46059</v>
      </c>
      <c r="J146" s="4" t="n">
        <v>10450</v>
      </c>
      <c r="K146" s="2" t="n">
        <v>46</v>
      </c>
      <c r="L146" s="2" t="n">
        <v>16</v>
      </c>
      <c r="M146" s="2" t="str">
        <f aca="false">IF($H146="Outstanding",MAX(0,Summary!$B$3-$F146),"")</f>
        <v/>
      </c>
      <c r="N146" s="2" t="str">
        <f aca="false">IF($M146="","",IF($M146=0,"Current",IF($M146&lt;=30,"1-30",IF($M146&lt;=60,"31-60",IF($M146&lt;=90,"61-90","90+")))))</f>
        <v/>
      </c>
      <c r="O146" s="4" t="n">
        <f aca="false">IF($H146="Outstanding",$G146,0)</f>
        <v>0</v>
      </c>
      <c r="P146" s="5" t="n">
        <f aca="false">$O146*IF($M146="",0,$M146)</f>
        <v>0</v>
      </c>
    </row>
    <row r="147" customFormat="false" ht="15" hidden="false" customHeight="false" outlineLevel="0" collapsed="false">
      <c r="A147" s="2" t="s">
        <v>199</v>
      </c>
      <c r="B147" s="2" t="s">
        <v>63</v>
      </c>
      <c r="C147" s="2" t="s">
        <v>64</v>
      </c>
      <c r="D147" s="3" t="n">
        <v>45993</v>
      </c>
      <c r="E147" s="2" t="n">
        <v>15</v>
      </c>
      <c r="F147" s="3" t="n">
        <v>46008</v>
      </c>
      <c r="G147" s="4" t="n">
        <v>4450</v>
      </c>
      <c r="H147" s="2" t="s">
        <v>19</v>
      </c>
      <c r="I147" s="3" t="n">
        <v>46010</v>
      </c>
      <c r="J147" s="4" t="n">
        <v>4450</v>
      </c>
      <c r="K147" s="2" t="n">
        <v>17</v>
      </c>
      <c r="L147" s="2" t="n">
        <v>2</v>
      </c>
      <c r="M147" s="2" t="str">
        <f aca="false">IF($H147="Outstanding",MAX(0,Summary!$B$3-$F147),"")</f>
        <v/>
      </c>
      <c r="N147" s="2" t="str">
        <f aca="false">IF($M147="","",IF($M147=0,"Current",IF($M147&lt;=30,"1-30",IF($M147&lt;=60,"31-60",IF($M147&lt;=90,"61-90","90+")))))</f>
        <v/>
      </c>
      <c r="O147" s="4" t="n">
        <f aca="false">IF($H147="Outstanding",$G147,0)</f>
        <v>0</v>
      </c>
      <c r="P147" s="5" t="n">
        <f aca="false">$O147*IF($M147="",0,$M147)</f>
        <v>0</v>
      </c>
    </row>
    <row r="148" customFormat="false" ht="15" hidden="false" customHeight="false" outlineLevel="0" collapsed="false">
      <c r="A148" s="2" t="s">
        <v>200</v>
      </c>
      <c r="B148" s="2" t="s">
        <v>52</v>
      </c>
      <c r="C148" s="2" t="s">
        <v>53</v>
      </c>
      <c r="D148" s="3" t="n">
        <v>46013</v>
      </c>
      <c r="E148" s="2" t="n">
        <v>30</v>
      </c>
      <c r="F148" s="3" t="n">
        <v>46043</v>
      </c>
      <c r="G148" s="4" t="n">
        <v>3000</v>
      </c>
      <c r="H148" s="2" t="s">
        <v>19</v>
      </c>
      <c r="I148" s="3" t="n">
        <v>46071</v>
      </c>
      <c r="J148" s="4" t="n">
        <v>3000</v>
      </c>
      <c r="K148" s="2" t="n">
        <v>58</v>
      </c>
      <c r="L148" s="2" t="n">
        <v>28</v>
      </c>
      <c r="M148" s="2" t="str">
        <f aca="false">IF($H148="Outstanding",MAX(0,Summary!$B$3-$F148),"")</f>
        <v/>
      </c>
      <c r="N148" s="2" t="str">
        <f aca="false">IF($M148="","",IF($M148=0,"Current",IF($M148&lt;=30,"1-30",IF($M148&lt;=60,"31-60",IF($M148&lt;=90,"61-90","90+")))))</f>
        <v/>
      </c>
      <c r="O148" s="4" t="n">
        <f aca="false">IF($H148="Outstanding",$G148,0)</f>
        <v>0</v>
      </c>
      <c r="P148" s="5" t="n">
        <f aca="false">$O148*IF($M148="",0,$M148)</f>
        <v>0</v>
      </c>
    </row>
    <row r="149" customFormat="false" ht="15" hidden="false" customHeight="false" outlineLevel="0" collapsed="false">
      <c r="A149" s="2" t="s">
        <v>201</v>
      </c>
      <c r="B149" s="2" t="s">
        <v>27</v>
      </c>
      <c r="C149" s="2" t="s">
        <v>28</v>
      </c>
      <c r="D149" s="3" t="n">
        <v>46016</v>
      </c>
      <c r="E149" s="2" t="n">
        <v>45</v>
      </c>
      <c r="F149" s="3" t="n">
        <v>46061</v>
      </c>
      <c r="G149" s="4" t="n">
        <v>13550</v>
      </c>
      <c r="H149" s="2" t="s">
        <v>19</v>
      </c>
      <c r="I149" s="3" t="n">
        <v>46107</v>
      </c>
      <c r="J149" s="4" t="n">
        <v>13550</v>
      </c>
      <c r="K149" s="2" t="n">
        <v>91</v>
      </c>
      <c r="L149" s="2" t="n">
        <v>46</v>
      </c>
      <c r="M149" s="2" t="str">
        <f aca="false">IF($H149="Outstanding",MAX(0,Summary!$B$3-$F149),"")</f>
        <v/>
      </c>
      <c r="N149" s="2" t="str">
        <f aca="false">IF($M149="","",IF($M149=0,"Current",IF($M149&lt;=30,"1-30",IF($M149&lt;=60,"31-60",IF($M149&lt;=90,"61-90","90+")))))</f>
        <v/>
      </c>
      <c r="O149" s="4" t="n">
        <f aca="false">IF($H149="Outstanding",$G149,0)</f>
        <v>0</v>
      </c>
      <c r="P149" s="5" t="n">
        <f aca="false">$O149*IF($M149="",0,$M149)</f>
        <v>0</v>
      </c>
    </row>
    <row r="150" customFormat="false" ht="15" hidden="false" customHeight="false" outlineLevel="0" collapsed="false">
      <c r="A150" s="2" t="s">
        <v>202</v>
      </c>
      <c r="B150" s="2" t="s">
        <v>52</v>
      </c>
      <c r="C150" s="2" t="s">
        <v>53</v>
      </c>
      <c r="D150" s="3" t="n">
        <v>46000</v>
      </c>
      <c r="E150" s="2" t="n">
        <v>30</v>
      </c>
      <c r="F150" s="3" t="n">
        <v>46030</v>
      </c>
      <c r="G150" s="4" t="n">
        <v>5250</v>
      </c>
      <c r="H150" s="2" t="s">
        <v>19</v>
      </c>
      <c r="I150" s="3" t="n">
        <v>46059</v>
      </c>
      <c r="J150" s="4" t="n">
        <v>5250</v>
      </c>
      <c r="K150" s="2" t="n">
        <v>59</v>
      </c>
      <c r="L150" s="2" t="n">
        <v>29</v>
      </c>
      <c r="M150" s="2" t="str">
        <f aca="false">IF($H150="Outstanding",MAX(0,Summary!$B$3-$F150),"")</f>
        <v/>
      </c>
      <c r="N150" s="2" t="str">
        <f aca="false">IF($M150="","",IF($M150=0,"Current",IF($M150&lt;=30,"1-30",IF($M150&lt;=60,"31-60",IF($M150&lt;=90,"61-90","90+")))))</f>
        <v/>
      </c>
      <c r="O150" s="4" t="n">
        <f aca="false">IF($H150="Outstanding",$G150,0)</f>
        <v>0</v>
      </c>
      <c r="P150" s="5" t="n">
        <f aca="false">$O150*IF($M150="",0,$M150)</f>
        <v>0</v>
      </c>
    </row>
    <row r="151" customFormat="false" ht="15" hidden="false" customHeight="false" outlineLevel="0" collapsed="false">
      <c r="A151" s="2" t="s">
        <v>203</v>
      </c>
      <c r="B151" s="2" t="s">
        <v>17</v>
      </c>
      <c r="C151" s="2" t="s">
        <v>18</v>
      </c>
      <c r="D151" s="3" t="n">
        <v>46006</v>
      </c>
      <c r="E151" s="2" t="n">
        <v>30</v>
      </c>
      <c r="F151" s="3" t="n">
        <v>46036</v>
      </c>
      <c r="G151" s="4" t="n">
        <v>5300</v>
      </c>
      <c r="H151" s="2" t="s">
        <v>19</v>
      </c>
      <c r="I151" s="3" t="n">
        <v>46104</v>
      </c>
      <c r="J151" s="4" t="n">
        <v>5300</v>
      </c>
      <c r="K151" s="2" t="n">
        <v>98</v>
      </c>
      <c r="L151" s="2" t="n">
        <v>68</v>
      </c>
      <c r="M151" s="2" t="str">
        <f aca="false">IF($H151="Outstanding",MAX(0,Summary!$B$3-$F151),"")</f>
        <v/>
      </c>
      <c r="N151" s="2" t="str">
        <f aca="false">IF($M151="","",IF($M151=0,"Current",IF($M151&lt;=30,"1-30",IF($M151&lt;=60,"31-60",IF($M151&lt;=90,"61-90","90+")))))</f>
        <v/>
      </c>
      <c r="O151" s="4" t="n">
        <f aca="false">IF($H151="Outstanding",$G151,0)</f>
        <v>0</v>
      </c>
      <c r="P151" s="5" t="n">
        <f aca="false">$O151*IF($M151="",0,$M151)</f>
        <v>0</v>
      </c>
    </row>
    <row r="152" customFormat="false" ht="15" hidden="false" customHeight="false" outlineLevel="0" collapsed="false">
      <c r="A152" s="2" t="s">
        <v>204</v>
      </c>
      <c r="B152" s="2" t="s">
        <v>63</v>
      </c>
      <c r="C152" s="2" t="s">
        <v>64</v>
      </c>
      <c r="D152" s="3" t="n">
        <v>46035</v>
      </c>
      <c r="E152" s="2" t="n">
        <v>15</v>
      </c>
      <c r="F152" s="3" t="n">
        <v>46050</v>
      </c>
      <c r="G152" s="4" t="n">
        <v>6200</v>
      </c>
      <c r="H152" s="2" t="s">
        <v>19</v>
      </c>
      <c r="I152" s="3" t="n">
        <v>46052</v>
      </c>
      <c r="J152" s="4" t="n">
        <v>6200</v>
      </c>
      <c r="K152" s="2" t="n">
        <v>17</v>
      </c>
      <c r="L152" s="2" t="n">
        <v>2</v>
      </c>
      <c r="M152" s="2" t="str">
        <f aca="false">IF($H152="Outstanding",MAX(0,Summary!$B$3-$F152),"")</f>
        <v/>
      </c>
      <c r="N152" s="2" t="str">
        <f aca="false">IF($M152="","",IF($M152=0,"Current",IF($M152&lt;=30,"1-30",IF($M152&lt;=60,"31-60",IF($M152&lt;=90,"61-90","90+")))))</f>
        <v/>
      </c>
      <c r="O152" s="4" t="n">
        <f aca="false">IF($H152="Outstanding",$G152,0)</f>
        <v>0</v>
      </c>
      <c r="P152" s="5" t="n">
        <f aca="false">$O152*IF($M152="",0,$M152)</f>
        <v>0</v>
      </c>
    </row>
    <row r="153" customFormat="false" ht="15" hidden="false" customHeight="false" outlineLevel="0" collapsed="false">
      <c r="A153" s="2" t="s">
        <v>205</v>
      </c>
      <c r="B153" s="2" t="s">
        <v>43</v>
      </c>
      <c r="C153" s="2" t="s">
        <v>44</v>
      </c>
      <c r="D153" s="3" t="n">
        <v>46044</v>
      </c>
      <c r="E153" s="2" t="n">
        <v>30</v>
      </c>
      <c r="F153" s="3" t="n">
        <v>46074</v>
      </c>
      <c r="G153" s="4" t="n">
        <v>29150</v>
      </c>
      <c r="H153" s="2" t="s">
        <v>45</v>
      </c>
      <c r="I153" s="3" t="n">
        <v>46097</v>
      </c>
      <c r="J153" s="4" t="n">
        <v>29150</v>
      </c>
      <c r="K153" s="2" t="n">
        <v>53</v>
      </c>
      <c r="L153" s="2" t="n">
        <v>23</v>
      </c>
      <c r="M153" s="2" t="str">
        <f aca="false">IF($H153="Outstanding",MAX(0,Summary!$B$3-$F153),"")</f>
        <v/>
      </c>
      <c r="N153" s="2" t="str">
        <f aca="false">IF($M153="","",IF($M153=0,"Current",IF($M153&lt;=30,"1-30",IF($M153&lt;=60,"31-60",IF($M153&lt;=90,"61-90","90+")))))</f>
        <v/>
      </c>
      <c r="O153" s="4" t="n">
        <f aca="false">IF($H153="Outstanding",$G153,0)</f>
        <v>0</v>
      </c>
      <c r="P153" s="5" t="n">
        <f aca="false">$O153*IF($M153="",0,$M153)</f>
        <v>0</v>
      </c>
    </row>
    <row r="154" customFormat="false" ht="15" hidden="false" customHeight="false" outlineLevel="0" collapsed="false">
      <c r="A154" s="2" t="s">
        <v>206</v>
      </c>
      <c r="B154" s="2" t="s">
        <v>47</v>
      </c>
      <c r="C154" s="2" t="s">
        <v>48</v>
      </c>
      <c r="D154" s="3" t="n">
        <v>46048</v>
      </c>
      <c r="E154" s="2" t="n">
        <v>15</v>
      </c>
      <c r="F154" s="3" t="n">
        <v>46063</v>
      </c>
      <c r="G154" s="4" t="n">
        <v>950</v>
      </c>
      <c r="H154" s="2" t="s">
        <v>19</v>
      </c>
      <c r="I154" s="3" t="n">
        <v>46069</v>
      </c>
      <c r="J154" s="4" t="n">
        <v>950</v>
      </c>
      <c r="K154" s="2" t="n">
        <v>21</v>
      </c>
      <c r="L154" s="2" t="n">
        <v>6</v>
      </c>
      <c r="M154" s="2" t="str">
        <f aca="false">IF($H154="Outstanding",MAX(0,Summary!$B$3-$F154),"")</f>
        <v/>
      </c>
      <c r="N154" s="2" t="str">
        <f aca="false">IF($M154="","",IF($M154=0,"Current",IF($M154&lt;=30,"1-30",IF($M154&lt;=60,"31-60",IF($M154&lt;=90,"61-90","90+")))))</f>
        <v/>
      </c>
      <c r="O154" s="4" t="n">
        <f aca="false">IF($H154="Outstanding",$G154,0)</f>
        <v>0</v>
      </c>
      <c r="P154" s="5" t="n">
        <f aca="false">$O154*IF($M154="",0,$M154)</f>
        <v>0</v>
      </c>
    </row>
    <row r="155" customFormat="false" ht="15" hidden="false" customHeight="false" outlineLevel="0" collapsed="false">
      <c r="A155" s="2" t="s">
        <v>207</v>
      </c>
      <c r="B155" s="2" t="s">
        <v>24</v>
      </c>
      <c r="C155" s="2" t="s">
        <v>25</v>
      </c>
      <c r="D155" s="3" t="n">
        <v>46034</v>
      </c>
      <c r="E155" s="2" t="n">
        <v>30</v>
      </c>
      <c r="F155" s="3" t="n">
        <v>46064</v>
      </c>
      <c r="G155" s="4" t="n">
        <v>4850</v>
      </c>
      <c r="H155" s="2" t="s">
        <v>19</v>
      </c>
      <c r="I155" s="3" t="n">
        <v>46111</v>
      </c>
      <c r="J155" s="4" t="n">
        <v>4850</v>
      </c>
      <c r="K155" s="2" t="n">
        <v>77</v>
      </c>
      <c r="L155" s="2" t="n">
        <v>45</v>
      </c>
      <c r="M155" s="2" t="str">
        <f aca="false">IF($H155="Outstanding",MAX(0,Summary!$B$3-$F155),"")</f>
        <v/>
      </c>
      <c r="N155" s="2" t="str">
        <f aca="false">IF($M155="","",IF($M155=0,"Current",IF($M155&lt;=30,"1-30",IF($M155&lt;=60,"31-60",IF($M155&lt;=90,"61-90","90+")))))</f>
        <v/>
      </c>
      <c r="O155" s="4" t="n">
        <f aca="false">IF($H155="Outstanding",$G155,0)</f>
        <v>0</v>
      </c>
      <c r="P155" s="5" t="n">
        <f aca="false">$O155*IF($M155="",0,$M155)</f>
        <v>0</v>
      </c>
    </row>
    <row r="156" customFormat="false" ht="15" hidden="false" customHeight="false" outlineLevel="0" collapsed="false">
      <c r="A156" s="2" t="s">
        <v>208</v>
      </c>
      <c r="B156" s="2" t="s">
        <v>52</v>
      </c>
      <c r="C156" s="2" t="s">
        <v>53</v>
      </c>
      <c r="D156" s="3" t="n">
        <v>46041</v>
      </c>
      <c r="E156" s="2" t="n">
        <v>30</v>
      </c>
      <c r="F156" s="3" t="n">
        <v>46071</v>
      </c>
      <c r="G156" s="4" t="n">
        <v>6350</v>
      </c>
      <c r="H156" s="2" t="s">
        <v>19</v>
      </c>
      <c r="I156" s="3" t="n">
        <v>46091</v>
      </c>
      <c r="J156" s="4" t="n">
        <v>6350</v>
      </c>
      <c r="K156" s="2" t="n">
        <v>50</v>
      </c>
      <c r="L156" s="2" t="n">
        <v>20</v>
      </c>
      <c r="M156" s="2" t="str">
        <f aca="false">IF($H156="Outstanding",MAX(0,Summary!$B$3-$F156),"")</f>
        <v/>
      </c>
      <c r="N156" s="2" t="str">
        <f aca="false">IF($M156="","",IF($M156=0,"Current",IF($M156&lt;=30,"1-30",IF($M156&lt;=60,"31-60",IF($M156&lt;=90,"61-90","90+")))))</f>
        <v/>
      </c>
      <c r="O156" s="4" t="n">
        <f aca="false">IF($H156="Outstanding",$G156,0)</f>
        <v>0</v>
      </c>
      <c r="P156" s="5" t="n">
        <f aca="false">$O156*IF($M156="",0,$M156)</f>
        <v>0</v>
      </c>
    </row>
    <row r="157" customFormat="false" ht="15" hidden="false" customHeight="false" outlineLevel="0" collapsed="false">
      <c r="A157" s="2" t="s">
        <v>209</v>
      </c>
      <c r="B157" s="2" t="s">
        <v>67</v>
      </c>
      <c r="C157" s="2" t="s">
        <v>68</v>
      </c>
      <c r="D157" s="3" t="n">
        <v>46035</v>
      </c>
      <c r="E157" s="2" t="n">
        <v>30</v>
      </c>
      <c r="F157" s="3" t="n">
        <v>46065</v>
      </c>
      <c r="G157" s="4" t="n">
        <v>4150</v>
      </c>
      <c r="H157" s="2" t="s">
        <v>19</v>
      </c>
      <c r="I157" s="3" t="n">
        <v>46070</v>
      </c>
      <c r="J157" s="4" t="n">
        <v>4150</v>
      </c>
      <c r="K157" s="2" t="n">
        <v>35</v>
      </c>
      <c r="L157" s="2" t="n">
        <v>5</v>
      </c>
      <c r="M157" s="2" t="str">
        <f aca="false">IF($H157="Outstanding",MAX(0,Summary!$B$3-$F157),"")</f>
        <v/>
      </c>
      <c r="N157" s="2" t="str">
        <f aca="false">IF($M157="","",IF($M157=0,"Current",IF($M157&lt;=30,"1-30",IF($M157&lt;=60,"31-60",IF($M157&lt;=90,"61-90","90+")))))</f>
        <v/>
      </c>
      <c r="O157" s="4" t="n">
        <f aca="false">IF($H157="Outstanding",$G157,0)</f>
        <v>0</v>
      </c>
      <c r="P157" s="5" t="n">
        <f aca="false">$O157*IF($M157="",0,$M157)</f>
        <v>0</v>
      </c>
    </row>
    <row r="158" customFormat="false" ht="15" hidden="false" customHeight="false" outlineLevel="0" collapsed="false">
      <c r="A158" s="2" t="s">
        <v>210</v>
      </c>
      <c r="B158" s="2" t="s">
        <v>17</v>
      </c>
      <c r="C158" s="2" t="s">
        <v>18</v>
      </c>
      <c r="D158" s="3" t="n">
        <v>46034</v>
      </c>
      <c r="E158" s="2" t="n">
        <v>30</v>
      </c>
      <c r="F158" s="3" t="n">
        <v>46064</v>
      </c>
      <c r="G158" s="4" t="n">
        <v>5250</v>
      </c>
      <c r="H158" s="2" t="s">
        <v>19</v>
      </c>
      <c r="I158" s="3" t="n">
        <v>46135</v>
      </c>
      <c r="J158" s="4" t="n">
        <v>5250</v>
      </c>
      <c r="K158" s="2" t="n">
        <v>101</v>
      </c>
      <c r="L158" s="2" t="n">
        <v>71</v>
      </c>
      <c r="M158" s="2" t="str">
        <f aca="false">IF($H158="Outstanding",MAX(0,Summary!$B$3-$F158),"")</f>
        <v/>
      </c>
      <c r="N158" s="2" t="str">
        <f aca="false">IF($M158="","",IF($M158=0,"Current",IF($M158&lt;=30,"1-30",IF($M158&lt;=60,"31-60",IF($M158&lt;=90,"61-90","90+")))))</f>
        <v/>
      </c>
      <c r="O158" s="4" t="n">
        <f aca="false">IF($H158="Outstanding",$G158,0)</f>
        <v>0</v>
      </c>
      <c r="P158" s="5" t="n">
        <f aca="false">$O158*IF($M158="",0,$M158)</f>
        <v>0</v>
      </c>
    </row>
    <row r="159" customFormat="false" ht="15" hidden="false" customHeight="false" outlineLevel="0" collapsed="false">
      <c r="A159" s="2" t="s">
        <v>211</v>
      </c>
      <c r="B159" s="2" t="s">
        <v>37</v>
      </c>
      <c r="C159" s="2" t="s">
        <v>38</v>
      </c>
      <c r="D159" s="3" t="n">
        <v>46045</v>
      </c>
      <c r="E159" s="2" t="n">
        <v>30</v>
      </c>
      <c r="F159" s="3" t="n">
        <v>46075</v>
      </c>
      <c r="G159" s="4" t="n">
        <v>8900</v>
      </c>
      <c r="H159" s="2" t="s">
        <v>19</v>
      </c>
      <c r="I159" s="3" t="n">
        <v>46093</v>
      </c>
      <c r="J159" s="4" t="n">
        <v>8900</v>
      </c>
      <c r="K159" s="2" t="n">
        <v>48</v>
      </c>
      <c r="L159" s="2" t="n">
        <v>18</v>
      </c>
      <c r="M159" s="2" t="str">
        <f aca="false">IF($H159="Outstanding",MAX(0,Summary!$B$3-$F159),"")</f>
        <v/>
      </c>
      <c r="N159" s="2" t="str">
        <f aca="false">IF($M159="","",IF($M159=0,"Current",IF($M159&lt;=30,"1-30",IF($M159&lt;=60,"31-60",IF($M159&lt;=90,"61-90","90+")))))</f>
        <v/>
      </c>
      <c r="O159" s="4" t="n">
        <f aca="false">IF($H159="Outstanding",$G159,0)</f>
        <v>0</v>
      </c>
      <c r="P159" s="5" t="n">
        <f aca="false">$O159*IF($M159="",0,$M159)</f>
        <v>0</v>
      </c>
    </row>
    <row r="160" customFormat="false" ht="15" hidden="false" customHeight="false" outlineLevel="0" collapsed="false">
      <c r="A160" s="2" t="s">
        <v>212</v>
      </c>
      <c r="B160" s="2" t="s">
        <v>30</v>
      </c>
      <c r="C160" s="2" t="s">
        <v>31</v>
      </c>
      <c r="D160" s="3" t="n">
        <v>46027</v>
      </c>
      <c r="E160" s="2" t="n">
        <v>30</v>
      </c>
      <c r="F160" s="3" t="n">
        <v>46057</v>
      </c>
      <c r="G160" s="4" t="n">
        <v>12750</v>
      </c>
      <c r="H160" s="2" t="s">
        <v>19</v>
      </c>
      <c r="I160" s="3" t="n">
        <v>46077</v>
      </c>
      <c r="J160" s="4" t="n">
        <v>12750</v>
      </c>
      <c r="K160" s="2" t="n">
        <v>50</v>
      </c>
      <c r="L160" s="2" t="n">
        <v>20</v>
      </c>
      <c r="M160" s="2" t="str">
        <f aca="false">IF($H160="Outstanding",MAX(0,Summary!$B$3-$F160),"")</f>
        <v/>
      </c>
      <c r="N160" s="2" t="str">
        <f aca="false">IF($M160="","",IF($M160=0,"Current",IF($M160&lt;=30,"1-30",IF($M160&lt;=60,"31-60",IF($M160&lt;=90,"61-90","90+")))))</f>
        <v/>
      </c>
      <c r="O160" s="4" t="n">
        <f aca="false">IF($H160="Outstanding",$G160,0)</f>
        <v>0</v>
      </c>
      <c r="P160" s="5" t="n">
        <f aca="false">$O160*IF($M160="",0,$M160)</f>
        <v>0</v>
      </c>
    </row>
    <row r="161" customFormat="false" ht="15" hidden="false" customHeight="false" outlineLevel="0" collapsed="false">
      <c r="A161" s="2" t="s">
        <v>213</v>
      </c>
      <c r="B161" s="2" t="s">
        <v>84</v>
      </c>
      <c r="C161" s="2" t="s">
        <v>85</v>
      </c>
      <c r="D161" s="3" t="n">
        <v>46035</v>
      </c>
      <c r="E161" s="2" t="n">
        <v>30</v>
      </c>
      <c r="F161" s="3" t="n">
        <v>46065</v>
      </c>
      <c r="G161" s="4" t="n">
        <v>8800</v>
      </c>
      <c r="H161" s="2" t="s">
        <v>19</v>
      </c>
      <c r="I161" s="3" t="n">
        <v>46092</v>
      </c>
      <c r="J161" s="4" t="n">
        <v>8800</v>
      </c>
      <c r="K161" s="2" t="n">
        <v>57</v>
      </c>
      <c r="L161" s="2" t="n">
        <v>27</v>
      </c>
      <c r="M161" s="2" t="str">
        <f aca="false">IF($H161="Outstanding",MAX(0,Summary!$B$3-$F161),"")</f>
        <v/>
      </c>
      <c r="N161" s="2" t="str">
        <f aca="false">IF($M161="","",IF($M161=0,"Current",IF($M161&lt;=30,"1-30",IF($M161&lt;=60,"31-60",IF($M161&lt;=90,"61-90","90+")))))</f>
        <v/>
      </c>
      <c r="O161" s="4" t="n">
        <f aca="false">IF($H161="Outstanding",$G161,0)</f>
        <v>0</v>
      </c>
      <c r="P161" s="5" t="n">
        <f aca="false">$O161*IF($M161="",0,$M161)</f>
        <v>0</v>
      </c>
    </row>
    <row r="162" customFormat="false" ht="15" hidden="false" customHeight="false" outlineLevel="0" collapsed="false">
      <c r="A162" s="2" t="s">
        <v>214</v>
      </c>
      <c r="B162" s="2" t="s">
        <v>88</v>
      </c>
      <c r="C162" s="2" t="s">
        <v>89</v>
      </c>
      <c r="D162" s="3" t="n">
        <v>46035</v>
      </c>
      <c r="E162" s="2" t="n">
        <v>30</v>
      </c>
      <c r="F162" s="3" t="n">
        <v>46065</v>
      </c>
      <c r="G162" s="4" t="n">
        <v>8050</v>
      </c>
      <c r="H162" s="2" t="s">
        <v>19</v>
      </c>
      <c r="I162" s="3" t="n">
        <v>46069</v>
      </c>
      <c r="J162" s="4" t="n">
        <v>8050</v>
      </c>
      <c r="K162" s="2" t="n">
        <v>34</v>
      </c>
      <c r="L162" s="2" t="n">
        <v>3</v>
      </c>
      <c r="M162" s="2" t="str">
        <f aca="false">IF($H162="Outstanding",MAX(0,Summary!$B$3-$F162),"")</f>
        <v/>
      </c>
      <c r="N162" s="2" t="str">
        <f aca="false">IF($M162="","",IF($M162=0,"Current",IF($M162&lt;=30,"1-30",IF($M162&lt;=60,"31-60",IF($M162&lt;=90,"61-90","90+")))))</f>
        <v/>
      </c>
      <c r="O162" s="4" t="n">
        <f aca="false">IF($H162="Outstanding",$G162,0)</f>
        <v>0</v>
      </c>
      <c r="P162" s="5" t="n">
        <f aca="false">$O162*IF($M162="",0,$M162)</f>
        <v>0</v>
      </c>
    </row>
    <row r="163" customFormat="false" ht="15" hidden="false" customHeight="false" outlineLevel="0" collapsed="false">
      <c r="A163" s="2" t="s">
        <v>215</v>
      </c>
      <c r="B163" s="2" t="s">
        <v>55</v>
      </c>
      <c r="C163" s="2" t="s">
        <v>56</v>
      </c>
      <c r="D163" s="3" t="n">
        <v>46048</v>
      </c>
      <c r="E163" s="2" t="n">
        <v>30</v>
      </c>
      <c r="F163" s="3" t="n">
        <v>46078</v>
      </c>
      <c r="G163" s="4" t="n">
        <v>4850</v>
      </c>
      <c r="H163" s="2" t="s">
        <v>19</v>
      </c>
      <c r="I163" s="3" t="n">
        <v>46097</v>
      </c>
      <c r="J163" s="4" t="n">
        <v>4850</v>
      </c>
      <c r="K163" s="2" t="n">
        <v>49</v>
      </c>
      <c r="L163" s="2" t="n">
        <v>19</v>
      </c>
      <c r="M163" s="2" t="str">
        <f aca="false">IF($H163="Outstanding",MAX(0,Summary!$B$3-$F163),"")</f>
        <v/>
      </c>
      <c r="N163" s="2" t="str">
        <f aca="false">IF($M163="","",IF($M163=0,"Current",IF($M163&lt;=30,"1-30",IF($M163&lt;=60,"31-60",IF($M163&lt;=90,"61-90","90+")))))</f>
        <v/>
      </c>
      <c r="O163" s="4" t="n">
        <f aca="false">IF($H163="Outstanding",$G163,0)</f>
        <v>0</v>
      </c>
      <c r="P163" s="5" t="n">
        <f aca="false">$O163*IF($M163="",0,$M163)</f>
        <v>0</v>
      </c>
    </row>
    <row r="164" customFormat="false" ht="15" hidden="false" customHeight="false" outlineLevel="0" collapsed="false">
      <c r="A164" s="2" t="s">
        <v>216</v>
      </c>
      <c r="B164" s="2" t="s">
        <v>88</v>
      </c>
      <c r="C164" s="2" t="s">
        <v>89</v>
      </c>
      <c r="D164" s="3" t="n">
        <v>46070</v>
      </c>
      <c r="E164" s="2" t="n">
        <v>30</v>
      </c>
      <c r="F164" s="3" t="n">
        <v>46100</v>
      </c>
      <c r="G164" s="4" t="n">
        <v>6250</v>
      </c>
      <c r="H164" s="2" t="s">
        <v>19</v>
      </c>
      <c r="I164" s="3" t="n">
        <v>46104</v>
      </c>
      <c r="J164" s="4" t="n">
        <v>6250</v>
      </c>
      <c r="K164" s="2" t="n">
        <v>34</v>
      </c>
      <c r="L164" s="2" t="n">
        <v>2</v>
      </c>
      <c r="M164" s="2" t="str">
        <f aca="false">IF($H164="Outstanding",MAX(0,Summary!$B$3-$F164),"")</f>
        <v/>
      </c>
      <c r="N164" s="2" t="str">
        <f aca="false">IF($M164="","",IF($M164=0,"Current",IF($M164&lt;=30,"1-30",IF($M164&lt;=60,"31-60",IF($M164&lt;=90,"61-90","90+")))))</f>
        <v/>
      </c>
      <c r="O164" s="4" t="n">
        <f aca="false">IF($H164="Outstanding",$G164,0)</f>
        <v>0</v>
      </c>
      <c r="P164" s="5" t="n">
        <f aca="false">$O164*IF($M164="",0,$M164)</f>
        <v>0</v>
      </c>
    </row>
    <row r="165" customFormat="false" ht="15" hidden="false" customHeight="false" outlineLevel="0" collapsed="false">
      <c r="A165" s="2" t="s">
        <v>217</v>
      </c>
      <c r="B165" s="2" t="s">
        <v>30</v>
      </c>
      <c r="C165" s="2" t="s">
        <v>31</v>
      </c>
      <c r="D165" s="3" t="n">
        <v>46078</v>
      </c>
      <c r="E165" s="2" t="n">
        <v>30</v>
      </c>
      <c r="F165" s="3" t="n">
        <v>46108</v>
      </c>
      <c r="G165" s="4" t="n">
        <v>11000</v>
      </c>
      <c r="H165" s="2" t="s">
        <v>19</v>
      </c>
      <c r="I165" s="3" t="n">
        <v>46125</v>
      </c>
      <c r="J165" s="4" t="n">
        <v>11000</v>
      </c>
      <c r="K165" s="2" t="n">
        <v>47</v>
      </c>
      <c r="L165" s="2" t="n">
        <v>15</v>
      </c>
      <c r="M165" s="2" t="str">
        <f aca="false">IF($H165="Outstanding",MAX(0,Summary!$B$3-$F165),"")</f>
        <v/>
      </c>
      <c r="N165" s="2" t="str">
        <f aca="false">IF($M165="","",IF($M165=0,"Current",IF($M165&lt;=30,"1-30",IF($M165&lt;=60,"31-60",IF($M165&lt;=90,"61-90","90+")))))</f>
        <v/>
      </c>
      <c r="O165" s="4" t="n">
        <f aca="false">IF($H165="Outstanding",$G165,0)</f>
        <v>0</v>
      </c>
      <c r="P165" s="5" t="n">
        <f aca="false">$O165*IF($M165="",0,$M165)</f>
        <v>0</v>
      </c>
    </row>
    <row r="166" customFormat="false" ht="15" hidden="false" customHeight="false" outlineLevel="0" collapsed="false">
      <c r="A166" s="2" t="s">
        <v>218</v>
      </c>
      <c r="B166" s="2" t="s">
        <v>55</v>
      </c>
      <c r="C166" s="2" t="s">
        <v>56</v>
      </c>
      <c r="D166" s="3" t="n">
        <v>46077</v>
      </c>
      <c r="E166" s="2" t="n">
        <v>30</v>
      </c>
      <c r="F166" s="3" t="n">
        <v>46107</v>
      </c>
      <c r="G166" s="4" t="n">
        <v>13550</v>
      </c>
      <c r="H166" s="2" t="s">
        <v>19</v>
      </c>
      <c r="I166" s="3" t="n">
        <v>46129</v>
      </c>
      <c r="J166" s="4" t="n">
        <v>13550</v>
      </c>
      <c r="K166" s="2" t="n">
        <v>52</v>
      </c>
      <c r="L166" s="2" t="n">
        <v>22</v>
      </c>
      <c r="M166" s="2" t="str">
        <f aca="false">IF($H166="Outstanding",MAX(0,Summary!$B$3-$F166),"")</f>
        <v/>
      </c>
      <c r="N166" s="2" t="str">
        <f aca="false">IF($M166="","",IF($M166=0,"Current",IF($M166&lt;=30,"1-30",IF($M166&lt;=60,"31-60",IF($M166&lt;=90,"61-90","90+")))))</f>
        <v/>
      </c>
      <c r="O166" s="4" t="n">
        <f aca="false">IF($H166="Outstanding",$G166,0)</f>
        <v>0</v>
      </c>
      <c r="P166" s="5" t="n">
        <f aca="false">$O166*IF($M166="",0,$M166)</f>
        <v>0</v>
      </c>
    </row>
    <row r="167" customFormat="false" ht="15" hidden="false" customHeight="false" outlineLevel="0" collapsed="false">
      <c r="A167" s="2" t="s">
        <v>219</v>
      </c>
      <c r="B167" s="2" t="s">
        <v>21</v>
      </c>
      <c r="C167" s="2" t="s">
        <v>22</v>
      </c>
      <c r="D167" s="3" t="n">
        <v>46057</v>
      </c>
      <c r="E167" s="2" t="n">
        <v>30</v>
      </c>
      <c r="F167" s="3" t="n">
        <v>46087</v>
      </c>
      <c r="G167" s="4" t="n">
        <v>7200</v>
      </c>
      <c r="H167" s="2" t="s">
        <v>19</v>
      </c>
      <c r="I167" s="3" t="n">
        <v>46125</v>
      </c>
      <c r="J167" s="4" t="n">
        <v>7200</v>
      </c>
      <c r="K167" s="2" t="n">
        <v>68</v>
      </c>
      <c r="L167" s="2" t="n">
        <v>38</v>
      </c>
      <c r="M167" s="2" t="str">
        <f aca="false">IF($H167="Outstanding",MAX(0,Summary!$B$3-$F167),"")</f>
        <v/>
      </c>
      <c r="N167" s="2" t="str">
        <f aca="false">IF($M167="","",IF($M167=0,"Current",IF($M167&lt;=30,"1-30",IF($M167&lt;=60,"31-60",IF($M167&lt;=90,"61-90","90+")))))</f>
        <v/>
      </c>
      <c r="O167" s="4" t="n">
        <f aca="false">IF($H167="Outstanding",$G167,0)</f>
        <v>0</v>
      </c>
      <c r="P167" s="5" t="n">
        <f aca="false">$O167*IF($M167="",0,$M167)</f>
        <v>0</v>
      </c>
    </row>
    <row r="168" customFormat="false" ht="15" hidden="false" customHeight="false" outlineLevel="0" collapsed="false">
      <c r="A168" s="2" t="s">
        <v>220</v>
      </c>
      <c r="B168" s="2" t="s">
        <v>24</v>
      </c>
      <c r="C168" s="2" t="s">
        <v>25</v>
      </c>
      <c r="D168" s="3" t="n">
        <v>46062</v>
      </c>
      <c r="E168" s="2" t="n">
        <v>30</v>
      </c>
      <c r="F168" s="3" t="n">
        <v>46092</v>
      </c>
      <c r="G168" s="4" t="n">
        <v>2300</v>
      </c>
      <c r="H168" s="2" t="s">
        <v>221</v>
      </c>
      <c r="I168" s="3"/>
      <c r="J168" s="4" t="n">
        <v>0</v>
      </c>
      <c r="K168" s="2"/>
      <c r="L168" s="2"/>
      <c r="M168" s="2" t="n">
        <f aca="false">IF($H168="Outstanding",MAX(0,Summary!$B$3-$F168),"")</f>
        <v>133</v>
      </c>
      <c r="N168" s="2" t="str">
        <f aca="false">IF($M168="","",IF($M168=0,"Current",IF($M168&lt;=30,"1-30",IF($M168&lt;=60,"31-60",IF($M168&lt;=90,"61-90","90+")))))</f>
        <v>90+</v>
      </c>
      <c r="O168" s="4" t="n">
        <f aca="false">IF($H168="Outstanding",$G168,0)</f>
        <v>2300</v>
      </c>
      <c r="P168" s="5" t="n">
        <f aca="false">$O168*IF($M168="",0,$M168)</f>
        <v>305900</v>
      </c>
    </row>
    <row r="169" customFormat="false" ht="15" hidden="false" customHeight="false" outlineLevel="0" collapsed="false">
      <c r="A169" s="2" t="s">
        <v>222</v>
      </c>
      <c r="B169" s="2" t="s">
        <v>63</v>
      </c>
      <c r="C169" s="2" t="s">
        <v>64</v>
      </c>
      <c r="D169" s="3" t="n">
        <v>46056</v>
      </c>
      <c r="E169" s="2" t="n">
        <v>15</v>
      </c>
      <c r="F169" s="3" t="n">
        <v>46071</v>
      </c>
      <c r="G169" s="4" t="n">
        <v>4200</v>
      </c>
      <c r="H169" s="2" t="s">
        <v>19</v>
      </c>
      <c r="I169" s="3" t="n">
        <v>46076</v>
      </c>
      <c r="J169" s="4" t="n">
        <v>4200</v>
      </c>
      <c r="K169" s="2" t="n">
        <v>20</v>
      </c>
      <c r="L169" s="2" t="n">
        <v>4</v>
      </c>
      <c r="M169" s="2" t="str">
        <f aca="false">IF($H169="Outstanding",MAX(0,Summary!$B$3-$F169),"")</f>
        <v/>
      </c>
      <c r="N169" s="2" t="str">
        <f aca="false">IF($M169="","",IF($M169=0,"Current",IF($M169&lt;=30,"1-30",IF($M169&lt;=60,"31-60",IF($M169&lt;=90,"61-90","90+")))))</f>
        <v/>
      </c>
      <c r="O169" s="4" t="n">
        <f aca="false">IF($H169="Outstanding",$G169,0)</f>
        <v>0</v>
      </c>
      <c r="P169" s="5" t="n">
        <f aca="false">$O169*IF($M169="",0,$M169)</f>
        <v>0</v>
      </c>
    </row>
    <row r="170" customFormat="false" ht="15" hidden="false" customHeight="false" outlineLevel="0" collapsed="false">
      <c r="A170" s="2" t="s">
        <v>223</v>
      </c>
      <c r="B170" s="2" t="s">
        <v>40</v>
      </c>
      <c r="C170" s="2" t="s">
        <v>41</v>
      </c>
      <c r="D170" s="3" t="n">
        <v>46078</v>
      </c>
      <c r="E170" s="2" t="n">
        <v>30</v>
      </c>
      <c r="F170" s="3" t="n">
        <v>46108</v>
      </c>
      <c r="G170" s="4" t="n">
        <v>17300</v>
      </c>
      <c r="H170" s="2" t="s">
        <v>221</v>
      </c>
      <c r="I170" s="3"/>
      <c r="J170" s="4" t="n">
        <v>0</v>
      </c>
      <c r="K170" s="2"/>
      <c r="L170" s="2"/>
      <c r="M170" s="2" t="n">
        <f aca="false">IF($H170="Outstanding",MAX(0,Summary!$B$3-$F170),"")</f>
        <v>117</v>
      </c>
      <c r="N170" s="2" t="str">
        <f aca="false">IF($M170="","",IF($M170=0,"Current",IF($M170&lt;=30,"1-30",IF($M170&lt;=60,"31-60",IF($M170&lt;=90,"61-90","90+")))))</f>
        <v>90+</v>
      </c>
      <c r="O170" s="4" t="n">
        <f aca="false">IF($H170="Outstanding",$G170,0)</f>
        <v>17300</v>
      </c>
      <c r="P170" s="5" t="n">
        <f aca="false">$O170*IF($M170="",0,$M170)</f>
        <v>2024100</v>
      </c>
    </row>
    <row r="171" customFormat="false" ht="15" hidden="false" customHeight="false" outlineLevel="0" collapsed="false">
      <c r="A171" s="2" t="s">
        <v>224</v>
      </c>
      <c r="B171" s="2" t="s">
        <v>37</v>
      </c>
      <c r="C171" s="2" t="s">
        <v>38</v>
      </c>
      <c r="D171" s="3" t="n">
        <v>46072</v>
      </c>
      <c r="E171" s="2" t="n">
        <v>30</v>
      </c>
      <c r="F171" s="3" t="n">
        <v>46102</v>
      </c>
      <c r="G171" s="4" t="n">
        <v>5250</v>
      </c>
      <c r="H171" s="2" t="s">
        <v>19</v>
      </c>
      <c r="I171" s="3" t="n">
        <v>46125</v>
      </c>
      <c r="J171" s="4" t="n">
        <v>5250</v>
      </c>
      <c r="K171" s="2" t="n">
        <v>53</v>
      </c>
      <c r="L171" s="2" t="n">
        <v>21</v>
      </c>
      <c r="M171" s="2" t="str">
        <f aca="false">IF($H171="Outstanding",MAX(0,Summary!$B$3-$F171),"")</f>
        <v/>
      </c>
      <c r="N171" s="2" t="str">
        <f aca="false">IF($M171="","",IF($M171=0,"Current",IF($M171&lt;=30,"1-30",IF($M171&lt;=60,"31-60",IF($M171&lt;=90,"61-90","90+")))))</f>
        <v/>
      </c>
      <c r="O171" s="4" t="n">
        <f aca="false">IF($H171="Outstanding",$G171,0)</f>
        <v>0</v>
      </c>
      <c r="P171" s="5" t="n">
        <f aca="false">$O171*IF($M171="",0,$M171)</f>
        <v>0</v>
      </c>
    </row>
    <row r="172" customFormat="false" ht="15" hidden="false" customHeight="false" outlineLevel="0" collapsed="false">
      <c r="A172" s="2" t="s">
        <v>225</v>
      </c>
      <c r="B172" s="2" t="s">
        <v>67</v>
      </c>
      <c r="C172" s="2" t="s">
        <v>68</v>
      </c>
      <c r="D172" s="3" t="n">
        <v>46072</v>
      </c>
      <c r="E172" s="2" t="n">
        <v>30</v>
      </c>
      <c r="F172" s="3" t="n">
        <v>46102</v>
      </c>
      <c r="G172" s="4" t="n">
        <v>9150</v>
      </c>
      <c r="H172" s="2" t="s">
        <v>19</v>
      </c>
      <c r="I172" s="3" t="n">
        <v>46113</v>
      </c>
      <c r="J172" s="4" t="n">
        <v>9150</v>
      </c>
      <c r="K172" s="2" t="n">
        <v>41</v>
      </c>
      <c r="L172" s="2" t="n">
        <v>11</v>
      </c>
      <c r="M172" s="2" t="str">
        <f aca="false">IF($H172="Outstanding",MAX(0,Summary!$B$3-$F172),"")</f>
        <v/>
      </c>
      <c r="N172" s="2" t="str">
        <f aca="false">IF($M172="","",IF($M172=0,"Current",IF($M172&lt;=30,"1-30",IF($M172&lt;=60,"31-60",IF($M172&lt;=90,"61-90","90+")))))</f>
        <v/>
      </c>
      <c r="O172" s="4" t="n">
        <f aca="false">IF($H172="Outstanding",$G172,0)</f>
        <v>0</v>
      </c>
      <c r="P172" s="5" t="n">
        <f aca="false">$O172*IF($M172="",0,$M172)</f>
        <v>0</v>
      </c>
    </row>
    <row r="173" customFormat="false" ht="15" hidden="false" customHeight="false" outlineLevel="0" collapsed="false">
      <c r="A173" s="2" t="s">
        <v>226</v>
      </c>
      <c r="B173" s="2" t="s">
        <v>30</v>
      </c>
      <c r="C173" s="2" t="s">
        <v>31</v>
      </c>
      <c r="D173" s="3" t="n">
        <v>46076</v>
      </c>
      <c r="E173" s="2" t="n">
        <v>30</v>
      </c>
      <c r="F173" s="3" t="n">
        <v>46106</v>
      </c>
      <c r="G173" s="4" t="n">
        <v>10300</v>
      </c>
      <c r="H173" s="2" t="s">
        <v>19</v>
      </c>
      <c r="I173" s="3" t="n">
        <v>46121</v>
      </c>
      <c r="J173" s="4" t="n">
        <v>10300</v>
      </c>
      <c r="K173" s="2" t="n">
        <v>45</v>
      </c>
      <c r="L173" s="2" t="n">
        <v>15</v>
      </c>
      <c r="M173" s="2" t="str">
        <f aca="false">IF($H173="Outstanding",MAX(0,Summary!$B$3-$F173),"")</f>
        <v/>
      </c>
      <c r="N173" s="2" t="str">
        <f aca="false">IF($M173="","",IF($M173=0,"Current",IF($M173&lt;=30,"1-30",IF($M173&lt;=60,"31-60",IF($M173&lt;=90,"61-90","90+")))))</f>
        <v/>
      </c>
      <c r="O173" s="4" t="n">
        <f aca="false">IF($H173="Outstanding",$G173,0)</f>
        <v>0</v>
      </c>
      <c r="P173" s="5" t="n">
        <f aca="false">$O173*IF($M173="",0,$M173)</f>
        <v>0</v>
      </c>
    </row>
    <row r="174" customFormat="false" ht="15" hidden="false" customHeight="false" outlineLevel="0" collapsed="false">
      <c r="A174" s="2" t="s">
        <v>227</v>
      </c>
      <c r="B174" s="2" t="s">
        <v>21</v>
      </c>
      <c r="C174" s="2" t="s">
        <v>22</v>
      </c>
      <c r="D174" s="3" t="n">
        <v>46069</v>
      </c>
      <c r="E174" s="2" t="n">
        <v>30</v>
      </c>
      <c r="F174" s="3" t="n">
        <v>46099</v>
      </c>
      <c r="G174" s="4" t="n">
        <v>6000</v>
      </c>
      <c r="H174" s="2" t="s">
        <v>19</v>
      </c>
      <c r="I174" s="3" t="n">
        <v>46134</v>
      </c>
      <c r="J174" s="4" t="n">
        <v>6000</v>
      </c>
      <c r="K174" s="2" t="n">
        <v>65</v>
      </c>
      <c r="L174" s="2" t="n">
        <v>35</v>
      </c>
      <c r="M174" s="2" t="str">
        <f aca="false">IF($H174="Outstanding",MAX(0,Summary!$B$3-$F174),"")</f>
        <v/>
      </c>
      <c r="N174" s="2" t="str">
        <f aca="false">IF($M174="","",IF($M174=0,"Current",IF($M174&lt;=30,"1-30",IF($M174&lt;=60,"31-60",IF($M174&lt;=90,"61-90","90+")))))</f>
        <v/>
      </c>
      <c r="O174" s="4" t="n">
        <f aca="false">IF($H174="Outstanding",$G174,0)</f>
        <v>0</v>
      </c>
      <c r="P174" s="5" t="n">
        <f aca="false">$O174*IF($M174="",0,$M174)</f>
        <v>0</v>
      </c>
    </row>
    <row r="175" customFormat="false" ht="15" hidden="false" customHeight="false" outlineLevel="0" collapsed="false">
      <c r="A175" s="2" t="s">
        <v>228</v>
      </c>
      <c r="B175" s="2" t="s">
        <v>47</v>
      </c>
      <c r="C175" s="2" t="s">
        <v>48</v>
      </c>
      <c r="D175" s="3" t="n">
        <v>46062</v>
      </c>
      <c r="E175" s="2" t="n">
        <v>15</v>
      </c>
      <c r="F175" s="3" t="n">
        <v>46077</v>
      </c>
      <c r="G175" s="4" t="n">
        <v>3000</v>
      </c>
      <c r="H175" s="2" t="s">
        <v>19</v>
      </c>
      <c r="I175" s="3" t="n">
        <v>46079</v>
      </c>
      <c r="J175" s="4" t="n">
        <v>3000</v>
      </c>
      <c r="K175" s="2" t="n">
        <v>17</v>
      </c>
      <c r="L175" s="2" t="n">
        <v>2</v>
      </c>
      <c r="M175" s="2" t="str">
        <f aca="false">IF($H175="Outstanding",MAX(0,Summary!$B$3-$F175),"")</f>
        <v/>
      </c>
      <c r="N175" s="2" t="str">
        <f aca="false">IF($M175="","",IF($M175=0,"Current",IF($M175&lt;=30,"1-30",IF($M175&lt;=60,"31-60",IF($M175&lt;=90,"61-90","90+")))))</f>
        <v/>
      </c>
      <c r="O175" s="4" t="n">
        <f aca="false">IF($H175="Outstanding",$G175,0)</f>
        <v>0</v>
      </c>
      <c r="P175" s="5" t="n">
        <f aca="false">$O175*IF($M175="",0,$M175)</f>
        <v>0</v>
      </c>
    </row>
    <row r="176" customFormat="false" ht="15" hidden="false" customHeight="false" outlineLevel="0" collapsed="false">
      <c r="A176" s="2" t="s">
        <v>229</v>
      </c>
      <c r="B176" s="2" t="s">
        <v>52</v>
      </c>
      <c r="C176" s="2" t="s">
        <v>53</v>
      </c>
      <c r="D176" s="3" t="n">
        <v>46065</v>
      </c>
      <c r="E176" s="2" t="n">
        <v>30</v>
      </c>
      <c r="F176" s="3" t="n">
        <v>46095</v>
      </c>
      <c r="G176" s="4" t="n">
        <v>7300</v>
      </c>
      <c r="H176" s="2" t="s">
        <v>19</v>
      </c>
      <c r="I176" s="3" t="n">
        <v>46118</v>
      </c>
      <c r="J176" s="4" t="n">
        <v>7300</v>
      </c>
      <c r="K176" s="2" t="n">
        <v>53</v>
      </c>
      <c r="L176" s="2" t="n">
        <v>21</v>
      </c>
      <c r="M176" s="2" t="str">
        <f aca="false">IF($H176="Outstanding",MAX(0,Summary!$B$3-$F176),"")</f>
        <v/>
      </c>
      <c r="N176" s="2" t="str">
        <f aca="false">IF($M176="","",IF($M176=0,"Current",IF($M176&lt;=30,"1-30",IF($M176&lt;=60,"31-60",IF($M176&lt;=90,"61-90","90+")))))</f>
        <v/>
      </c>
      <c r="O176" s="4" t="n">
        <f aca="false">IF($H176="Outstanding",$G176,0)</f>
        <v>0</v>
      </c>
      <c r="P176" s="5" t="n">
        <f aca="false">$O176*IF($M176="",0,$M176)</f>
        <v>0</v>
      </c>
    </row>
    <row r="177" customFormat="false" ht="15" hidden="false" customHeight="false" outlineLevel="0" collapsed="false">
      <c r="A177" s="2" t="s">
        <v>230</v>
      </c>
      <c r="B177" s="2" t="s">
        <v>84</v>
      </c>
      <c r="C177" s="2" t="s">
        <v>85</v>
      </c>
      <c r="D177" s="3" t="n">
        <v>46055</v>
      </c>
      <c r="E177" s="2" t="n">
        <v>30</v>
      </c>
      <c r="F177" s="3" t="n">
        <v>46085</v>
      </c>
      <c r="G177" s="4" t="n">
        <v>6800</v>
      </c>
      <c r="H177" s="2" t="s">
        <v>19</v>
      </c>
      <c r="I177" s="3" t="n">
        <v>46118</v>
      </c>
      <c r="J177" s="4" t="n">
        <v>6800</v>
      </c>
      <c r="K177" s="2" t="n">
        <v>63</v>
      </c>
      <c r="L177" s="2" t="n">
        <v>32</v>
      </c>
      <c r="M177" s="2" t="str">
        <f aca="false">IF($H177="Outstanding",MAX(0,Summary!$B$3-$F177),"")</f>
        <v/>
      </c>
      <c r="N177" s="2" t="str">
        <f aca="false">IF($M177="","",IF($M177=0,"Current",IF($M177&lt;=30,"1-30",IF($M177&lt;=60,"31-60",IF($M177&lt;=90,"61-90","90+")))))</f>
        <v/>
      </c>
      <c r="O177" s="4" t="n">
        <f aca="false">IF($H177="Outstanding",$G177,0)</f>
        <v>0</v>
      </c>
      <c r="P177" s="5" t="n">
        <f aca="false">$O177*IF($M177="",0,$M177)</f>
        <v>0</v>
      </c>
    </row>
    <row r="178" customFormat="false" ht="15" hidden="false" customHeight="false" outlineLevel="0" collapsed="false">
      <c r="A178" s="2" t="s">
        <v>231</v>
      </c>
      <c r="B178" s="2" t="s">
        <v>77</v>
      </c>
      <c r="C178" s="2" t="s">
        <v>78</v>
      </c>
      <c r="D178" s="3" t="n">
        <v>46091</v>
      </c>
      <c r="E178" s="2" t="n">
        <v>30</v>
      </c>
      <c r="F178" s="3" t="n">
        <v>46121</v>
      </c>
      <c r="G178" s="4" t="n">
        <v>10300</v>
      </c>
      <c r="H178" s="2" t="s">
        <v>19</v>
      </c>
      <c r="I178" s="3" t="n">
        <v>46136</v>
      </c>
      <c r="J178" s="4" t="n">
        <v>10300</v>
      </c>
      <c r="K178" s="2" t="n">
        <v>45</v>
      </c>
      <c r="L178" s="2" t="n">
        <v>15</v>
      </c>
      <c r="M178" s="2" t="str">
        <f aca="false">IF($H178="Outstanding",MAX(0,Summary!$B$3-$F178),"")</f>
        <v/>
      </c>
      <c r="N178" s="2" t="str">
        <f aca="false">IF($M178="","",IF($M178=0,"Current",IF($M178&lt;=30,"1-30",IF($M178&lt;=60,"31-60",IF($M178&lt;=90,"61-90","90+")))))</f>
        <v/>
      </c>
      <c r="O178" s="4" t="n">
        <f aca="false">IF($H178="Outstanding",$G178,0)</f>
        <v>0</v>
      </c>
      <c r="P178" s="5" t="n">
        <f aca="false">$O178*IF($M178="",0,$M178)</f>
        <v>0</v>
      </c>
    </row>
    <row r="179" customFormat="false" ht="15" hidden="false" customHeight="false" outlineLevel="0" collapsed="false">
      <c r="A179" s="2" t="s">
        <v>232</v>
      </c>
      <c r="B179" s="2" t="s">
        <v>52</v>
      </c>
      <c r="C179" s="2" t="s">
        <v>53</v>
      </c>
      <c r="D179" s="3" t="n">
        <v>46101</v>
      </c>
      <c r="E179" s="2" t="n">
        <v>30</v>
      </c>
      <c r="F179" s="3" t="n">
        <v>46131</v>
      </c>
      <c r="G179" s="4" t="n">
        <v>8150</v>
      </c>
      <c r="H179" s="2" t="s">
        <v>19</v>
      </c>
      <c r="I179" s="3" t="n">
        <v>46146</v>
      </c>
      <c r="J179" s="4" t="n">
        <v>8150</v>
      </c>
      <c r="K179" s="2" t="n">
        <v>45</v>
      </c>
      <c r="L179" s="2" t="n">
        <v>15</v>
      </c>
      <c r="M179" s="2" t="str">
        <f aca="false">IF($H179="Outstanding",MAX(0,Summary!$B$3-$F179),"")</f>
        <v/>
      </c>
      <c r="N179" s="2" t="str">
        <f aca="false">IF($M179="","",IF($M179=0,"Current",IF($M179&lt;=30,"1-30",IF($M179&lt;=60,"31-60",IF($M179&lt;=90,"61-90","90+")))))</f>
        <v/>
      </c>
      <c r="O179" s="4" t="n">
        <f aca="false">IF($H179="Outstanding",$G179,0)</f>
        <v>0</v>
      </c>
      <c r="P179" s="5" t="n">
        <f aca="false">$O179*IF($M179="",0,$M179)</f>
        <v>0</v>
      </c>
    </row>
    <row r="180" customFormat="false" ht="15" hidden="false" customHeight="false" outlineLevel="0" collapsed="false">
      <c r="A180" s="2" t="s">
        <v>233</v>
      </c>
      <c r="B180" s="2" t="s">
        <v>27</v>
      </c>
      <c r="C180" s="2" t="s">
        <v>28</v>
      </c>
      <c r="D180" s="3" t="n">
        <v>46094</v>
      </c>
      <c r="E180" s="2" t="n">
        <v>45</v>
      </c>
      <c r="F180" s="3" t="n">
        <v>46139</v>
      </c>
      <c r="G180" s="4" t="n">
        <v>22050</v>
      </c>
      <c r="H180" s="2" t="s">
        <v>221</v>
      </c>
      <c r="I180" s="3"/>
      <c r="J180" s="4" t="n">
        <v>0</v>
      </c>
      <c r="K180" s="2"/>
      <c r="L180" s="2"/>
      <c r="M180" s="2" t="n">
        <f aca="false">IF($H180="Outstanding",MAX(0,Summary!$B$3-$F180),"")</f>
        <v>86</v>
      </c>
      <c r="N180" s="2" t="str">
        <f aca="false">IF($M180="","",IF($M180=0,"Current",IF($M180&lt;=30,"1-30",IF($M180&lt;=60,"31-60",IF($M180&lt;=90,"61-90","90+")))))</f>
        <v>61-90</v>
      </c>
      <c r="O180" s="4" t="n">
        <f aca="false">IF($H180="Outstanding",$G180,0)</f>
        <v>22050</v>
      </c>
      <c r="P180" s="5" t="n">
        <f aca="false">$O180*IF($M180="",0,$M180)</f>
        <v>1896300</v>
      </c>
    </row>
    <row r="181" customFormat="false" ht="15" hidden="false" customHeight="false" outlineLevel="0" collapsed="false">
      <c r="A181" s="2" t="s">
        <v>234</v>
      </c>
      <c r="B181" s="2" t="s">
        <v>88</v>
      </c>
      <c r="C181" s="2" t="s">
        <v>89</v>
      </c>
      <c r="D181" s="3" t="n">
        <v>46083</v>
      </c>
      <c r="E181" s="2" t="n">
        <v>30</v>
      </c>
      <c r="F181" s="3" t="n">
        <v>46113</v>
      </c>
      <c r="G181" s="4" t="n">
        <v>4850</v>
      </c>
      <c r="H181" s="2" t="s">
        <v>19</v>
      </c>
      <c r="I181" s="3" t="n">
        <v>46115</v>
      </c>
      <c r="J181" s="4" t="n">
        <v>4850</v>
      </c>
      <c r="K181" s="2" t="n">
        <v>32</v>
      </c>
      <c r="L181" s="2" t="n">
        <v>2</v>
      </c>
      <c r="M181" s="2" t="str">
        <f aca="false">IF($H181="Outstanding",MAX(0,Summary!$B$3-$F181),"")</f>
        <v/>
      </c>
      <c r="N181" s="2" t="str">
        <f aca="false">IF($M181="","",IF($M181=0,"Current",IF($M181&lt;=30,"1-30",IF($M181&lt;=60,"31-60",IF($M181&lt;=90,"61-90","90+")))))</f>
        <v/>
      </c>
      <c r="O181" s="4" t="n">
        <f aca="false">IF($H181="Outstanding",$G181,0)</f>
        <v>0</v>
      </c>
      <c r="P181" s="5" t="n">
        <f aca="false">$O181*IF($M181="",0,$M181)</f>
        <v>0</v>
      </c>
    </row>
    <row r="182" customFormat="false" ht="15" hidden="false" customHeight="false" outlineLevel="0" collapsed="false">
      <c r="A182" s="2" t="s">
        <v>235</v>
      </c>
      <c r="B182" s="2" t="s">
        <v>55</v>
      </c>
      <c r="C182" s="2" t="s">
        <v>56</v>
      </c>
      <c r="D182" s="3" t="n">
        <v>46100</v>
      </c>
      <c r="E182" s="2" t="n">
        <v>30</v>
      </c>
      <c r="F182" s="3" t="n">
        <v>46130</v>
      </c>
      <c r="G182" s="4" t="n">
        <v>10150</v>
      </c>
      <c r="H182" s="2" t="s">
        <v>19</v>
      </c>
      <c r="I182" s="3" t="n">
        <v>46153</v>
      </c>
      <c r="J182" s="4" t="n">
        <v>10150</v>
      </c>
      <c r="K182" s="2" t="n">
        <v>53</v>
      </c>
      <c r="L182" s="2" t="n">
        <v>23</v>
      </c>
      <c r="M182" s="2" t="str">
        <f aca="false">IF($H182="Outstanding",MAX(0,Summary!$B$3-$F182),"")</f>
        <v/>
      </c>
      <c r="N182" s="2" t="str">
        <f aca="false">IF($M182="","",IF($M182=0,"Current",IF($M182&lt;=30,"1-30",IF($M182&lt;=60,"31-60",IF($M182&lt;=90,"61-90","90+")))))</f>
        <v/>
      </c>
      <c r="O182" s="4" t="n">
        <f aca="false">IF($H182="Outstanding",$G182,0)</f>
        <v>0</v>
      </c>
      <c r="P182" s="5" t="n">
        <f aca="false">$O182*IF($M182="",0,$M182)</f>
        <v>0</v>
      </c>
    </row>
    <row r="183" customFormat="false" ht="15" hidden="false" customHeight="false" outlineLevel="0" collapsed="false">
      <c r="A183" s="2" t="s">
        <v>236</v>
      </c>
      <c r="B183" s="2" t="s">
        <v>40</v>
      </c>
      <c r="C183" s="2" t="s">
        <v>41</v>
      </c>
      <c r="D183" s="3" t="n">
        <v>46086</v>
      </c>
      <c r="E183" s="2" t="n">
        <v>30</v>
      </c>
      <c r="F183" s="3" t="n">
        <v>46116</v>
      </c>
      <c r="G183" s="4" t="n">
        <v>23250</v>
      </c>
      <c r="H183" s="2" t="s">
        <v>221</v>
      </c>
      <c r="I183" s="3"/>
      <c r="J183" s="4" t="n">
        <v>0</v>
      </c>
      <c r="K183" s="2"/>
      <c r="L183" s="2"/>
      <c r="M183" s="2" t="n">
        <f aca="false">IF($H183="Outstanding",MAX(0,Summary!$B$3-$F183),"")</f>
        <v>109</v>
      </c>
      <c r="N183" s="2" t="str">
        <f aca="false">IF($M183="","",IF($M183=0,"Current",IF($M183&lt;=30,"1-30",IF($M183&lt;=60,"31-60",IF($M183&lt;=90,"61-90","90+")))))</f>
        <v>90+</v>
      </c>
      <c r="O183" s="4" t="n">
        <f aca="false">IF($H183="Outstanding",$G183,0)</f>
        <v>23250</v>
      </c>
      <c r="P183" s="5" t="n">
        <f aca="false">$O183*IF($M183="",0,$M183)</f>
        <v>2534250</v>
      </c>
    </row>
    <row r="184" customFormat="false" ht="15" hidden="false" customHeight="false" outlineLevel="0" collapsed="false">
      <c r="A184" s="2" t="s">
        <v>237</v>
      </c>
      <c r="B184" s="2" t="s">
        <v>63</v>
      </c>
      <c r="C184" s="2" t="s">
        <v>64</v>
      </c>
      <c r="D184" s="3" t="n">
        <v>46097</v>
      </c>
      <c r="E184" s="2" t="n">
        <v>15</v>
      </c>
      <c r="F184" s="3" t="n">
        <v>46112</v>
      </c>
      <c r="G184" s="4" t="n">
        <v>3800</v>
      </c>
      <c r="H184" s="2" t="s">
        <v>19</v>
      </c>
      <c r="I184" s="3" t="n">
        <v>46115</v>
      </c>
      <c r="J184" s="4" t="n">
        <v>3800</v>
      </c>
      <c r="K184" s="2" t="n">
        <v>18</v>
      </c>
      <c r="L184" s="2" t="n">
        <v>3</v>
      </c>
      <c r="M184" s="2" t="str">
        <f aca="false">IF($H184="Outstanding",MAX(0,Summary!$B$3-$F184),"")</f>
        <v/>
      </c>
      <c r="N184" s="2" t="str">
        <f aca="false">IF($M184="","",IF($M184=0,"Current",IF($M184&lt;=30,"1-30",IF($M184&lt;=60,"31-60",IF($M184&lt;=90,"61-90","90+")))))</f>
        <v/>
      </c>
      <c r="O184" s="4" t="n">
        <f aca="false">IF($H184="Outstanding",$G184,0)</f>
        <v>0</v>
      </c>
      <c r="P184" s="5" t="n">
        <f aca="false">$O184*IF($M184="",0,$M184)</f>
        <v>0</v>
      </c>
    </row>
    <row r="185" customFormat="false" ht="15" hidden="false" customHeight="false" outlineLevel="0" collapsed="false">
      <c r="A185" s="2" t="s">
        <v>238</v>
      </c>
      <c r="B185" s="2" t="s">
        <v>47</v>
      </c>
      <c r="C185" s="2" t="s">
        <v>48</v>
      </c>
      <c r="D185" s="3" t="n">
        <v>46104</v>
      </c>
      <c r="E185" s="2" t="n">
        <v>15</v>
      </c>
      <c r="F185" s="3" t="n">
        <v>46119</v>
      </c>
      <c r="G185" s="4" t="n">
        <v>1100</v>
      </c>
      <c r="H185" s="2" t="s">
        <v>19</v>
      </c>
      <c r="I185" s="3" t="n">
        <v>46119</v>
      </c>
      <c r="J185" s="4" t="n">
        <v>1100</v>
      </c>
      <c r="K185" s="2" t="n">
        <v>15</v>
      </c>
      <c r="L185" s="2" t="n">
        <v>0</v>
      </c>
      <c r="M185" s="2" t="str">
        <f aca="false">IF($H185="Outstanding",MAX(0,Summary!$B$3-$F185),"")</f>
        <v/>
      </c>
      <c r="N185" s="2" t="str">
        <f aca="false">IF($M185="","",IF($M185=0,"Current",IF($M185&lt;=30,"1-30",IF($M185&lt;=60,"31-60",IF($M185&lt;=90,"61-90","90+")))))</f>
        <v/>
      </c>
      <c r="O185" s="4" t="n">
        <f aca="false">IF($H185="Outstanding",$G185,0)</f>
        <v>0</v>
      </c>
      <c r="P185" s="5" t="n">
        <f aca="false">$O185*IF($M185="",0,$M185)</f>
        <v>0</v>
      </c>
    </row>
    <row r="186" customFormat="false" ht="15" hidden="false" customHeight="false" outlineLevel="0" collapsed="false">
      <c r="A186" s="2" t="s">
        <v>239</v>
      </c>
      <c r="B186" s="2" t="s">
        <v>21</v>
      </c>
      <c r="C186" s="2" t="s">
        <v>22</v>
      </c>
      <c r="D186" s="3" t="n">
        <v>46104</v>
      </c>
      <c r="E186" s="2" t="n">
        <v>30</v>
      </c>
      <c r="F186" s="3" t="n">
        <v>46134</v>
      </c>
      <c r="G186" s="4" t="n">
        <v>7600</v>
      </c>
      <c r="H186" s="2" t="s">
        <v>19</v>
      </c>
      <c r="I186" s="3" t="n">
        <v>46178</v>
      </c>
      <c r="J186" s="4" t="n">
        <v>7600</v>
      </c>
      <c r="K186" s="2" t="n">
        <v>74</v>
      </c>
      <c r="L186" s="2" t="n">
        <v>44</v>
      </c>
      <c r="M186" s="2" t="str">
        <f aca="false">IF($H186="Outstanding",MAX(0,Summary!$B$3-$F186),"")</f>
        <v/>
      </c>
      <c r="N186" s="2" t="str">
        <f aca="false">IF($M186="","",IF($M186=0,"Current",IF($M186&lt;=30,"1-30",IF($M186&lt;=60,"31-60",IF($M186&lt;=90,"61-90","90+")))))</f>
        <v/>
      </c>
      <c r="O186" s="4" t="n">
        <f aca="false">IF($H186="Outstanding",$G186,0)</f>
        <v>0</v>
      </c>
      <c r="P186" s="5" t="n">
        <f aca="false">$O186*IF($M186="",0,$M186)</f>
        <v>0</v>
      </c>
    </row>
    <row r="187" customFormat="false" ht="15" hidden="false" customHeight="false" outlineLevel="0" collapsed="false">
      <c r="A187" s="2" t="s">
        <v>240</v>
      </c>
      <c r="B187" s="2" t="s">
        <v>33</v>
      </c>
      <c r="C187" s="2" t="s">
        <v>34</v>
      </c>
      <c r="D187" s="3" t="n">
        <v>46097</v>
      </c>
      <c r="E187" s="2" t="n">
        <v>15</v>
      </c>
      <c r="F187" s="3" t="n">
        <v>46112</v>
      </c>
      <c r="G187" s="4" t="n">
        <v>13900</v>
      </c>
      <c r="H187" s="2" t="s">
        <v>19</v>
      </c>
      <c r="I187" s="3" t="n">
        <v>46118</v>
      </c>
      <c r="J187" s="4" t="n">
        <v>13900</v>
      </c>
      <c r="K187" s="2" t="n">
        <v>21</v>
      </c>
      <c r="L187" s="2" t="n">
        <v>5</v>
      </c>
      <c r="M187" s="2" t="str">
        <f aca="false">IF($H187="Outstanding",MAX(0,Summary!$B$3-$F187),"")</f>
        <v/>
      </c>
      <c r="N187" s="2" t="str">
        <f aca="false">IF($M187="","",IF($M187=0,"Current",IF($M187&lt;=30,"1-30",IF($M187&lt;=60,"31-60",IF($M187&lt;=90,"61-90","90+")))))</f>
        <v/>
      </c>
      <c r="O187" s="4" t="n">
        <f aca="false">IF($H187="Outstanding",$G187,0)</f>
        <v>0</v>
      </c>
      <c r="P187" s="5" t="n">
        <f aca="false">$O187*IF($M187="",0,$M187)</f>
        <v>0</v>
      </c>
    </row>
    <row r="188" customFormat="false" ht="15" hidden="false" customHeight="false" outlineLevel="0" collapsed="false">
      <c r="A188" s="2" t="s">
        <v>241</v>
      </c>
      <c r="B188" s="2" t="s">
        <v>17</v>
      </c>
      <c r="C188" s="2" t="s">
        <v>18</v>
      </c>
      <c r="D188" s="3" t="n">
        <v>46101</v>
      </c>
      <c r="E188" s="2" t="n">
        <v>30</v>
      </c>
      <c r="F188" s="3" t="n">
        <v>46131</v>
      </c>
      <c r="G188" s="4" t="n">
        <v>5050</v>
      </c>
      <c r="H188" s="2" t="s">
        <v>221</v>
      </c>
      <c r="I188" s="3"/>
      <c r="J188" s="4" t="n">
        <v>0</v>
      </c>
      <c r="K188" s="2"/>
      <c r="L188" s="2"/>
      <c r="M188" s="2" t="n">
        <f aca="false">IF($H188="Outstanding",MAX(0,Summary!$B$3-$F188),"")</f>
        <v>94</v>
      </c>
      <c r="N188" s="2" t="str">
        <f aca="false">IF($M188="","",IF($M188=0,"Current",IF($M188&lt;=30,"1-30",IF($M188&lt;=60,"31-60",IF($M188&lt;=90,"61-90","90+")))))</f>
        <v>90+</v>
      </c>
      <c r="O188" s="4" t="n">
        <f aca="false">IF($H188="Outstanding",$G188,0)</f>
        <v>5050</v>
      </c>
      <c r="P188" s="5" t="n">
        <f aca="false">$O188*IF($M188="",0,$M188)</f>
        <v>474700</v>
      </c>
    </row>
    <row r="189" customFormat="false" ht="15" hidden="false" customHeight="false" outlineLevel="0" collapsed="false">
      <c r="A189" s="2" t="s">
        <v>242</v>
      </c>
      <c r="B189" s="2" t="s">
        <v>37</v>
      </c>
      <c r="C189" s="2" t="s">
        <v>38</v>
      </c>
      <c r="D189" s="3" t="n">
        <v>46097</v>
      </c>
      <c r="E189" s="2" t="n">
        <v>30</v>
      </c>
      <c r="F189" s="3" t="n">
        <v>46127</v>
      </c>
      <c r="G189" s="4" t="n">
        <v>7750</v>
      </c>
      <c r="H189" s="2" t="s">
        <v>19</v>
      </c>
      <c r="I189" s="3" t="n">
        <v>46149</v>
      </c>
      <c r="J189" s="4" t="n">
        <v>7750</v>
      </c>
      <c r="K189" s="2" t="n">
        <v>52</v>
      </c>
      <c r="L189" s="2" t="n">
        <v>22</v>
      </c>
      <c r="M189" s="2" t="str">
        <f aca="false">IF($H189="Outstanding",MAX(0,Summary!$B$3-$F189),"")</f>
        <v/>
      </c>
      <c r="N189" s="2" t="str">
        <f aca="false">IF($M189="","",IF($M189=0,"Current",IF($M189&lt;=30,"1-30",IF($M189&lt;=60,"31-60",IF($M189&lt;=90,"61-90","90+")))))</f>
        <v/>
      </c>
      <c r="O189" s="4" t="n">
        <f aca="false">IF($H189="Outstanding",$G189,0)</f>
        <v>0</v>
      </c>
      <c r="P189" s="5" t="n">
        <f aca="false">$O189*IF($M189="",0,$M189)</f>
        <v>0</v>
      </c>
    </row>
    <row r="190" customFormat="false" ht="15" hidden="false" customHeight="false" outlineLevel="0" collapsed="false">
      <c r="A190" s="2" t="s">
        <v>243</v>
      </c>
      <c r="B190" s="2" t="s">
        <v>21</v>
      </c>
      <c r="C190" s="2" t="s">
        <v>22</v>
      </c>
      <c r="D190" s="3" t="n">
        <v>46104</v>
      </c>
      <c r="E190" s="2" t="n">
        <v>30</v>
      </c>
      <c r="F190" s="3" t="n">
        <v>46134</v>
      </c>
      <c r="G190" s="4" t="n">
        <v>13950</v>
      </c>
      <c r="H190" s="2" t="s">
        <v>19</v>
      </c>
      <c r="I190" s="3" t="n">
        <v>46181</v>
      </c>
      <c r="J190" s="4" t="n">
        <v>13950</v>
      </c>
      <c r="K190" s="2" t="n">
        <v>77</v>
      </c>
      <c r="L190" s="2" t="n">
        <v>47</v>
      </c>
      <c r="M190" s="2" t="str">
        <f aca="false">IF($H190="Outstanding",MAX(0,Summary!$B$3-$F190),"")</f>
        <v/>
      </c>
      <c r="N190" s="2" t="str">
        <f aca="false">IF($M190="","",IF($M190=0,"Current",IF($M190&lt;=30,"1-30",IF($M190&lt;=60,"31-60",IF($M190&lt;=90,"61-90","90+")))))</f>
        <v/>
      </c>
      <c r="O190" s="4" t="n">
        <f aca="false">IF($H190="Outstanding",$G190,0)</f>
        <v>0</v>
      </c>
      <c r="P190" s="5" t="n">
        <f aca="false">$O190*IF($M190="",0,$M190)</f>
        <v>0</v>
      </c>
    </row>
    <row r="191" customFormat="false" ht="15" hidden="false" customHeight="false" outlineLevel="0" collapsed="false">
      <c r="A191" s="2" t="s">
        <v>244</v>
      </c>
      <c r="B191" s="2" t="s">
        <v>77</v>
      </c>
      <c r="C191" s="2" t="s">
        <v>78</v>
      </c>
      <c r="D191" s="3" t="n">
        <v>46084</v>
      </c>
      <c r="E191" s="2" t="n">
        <v>30</v>
      </c>
      <c r="F191" s="3" t="n">
        <v>46114</v>
      </c>
      <c r="G191" s="4" t="n">
        <v>17900</v>
      </c>
      <c r="H191" s="2" t="s">
        <v>19</v>
      </c>
      <c r="I191" s="3" t="n">
        <v>46118</v>
      </c>
      <c r="J191" s="4" t="n">
        <v>17900</v>
      </c>
      <c r="K191" s="2" t="n">
        <v>34</v>
      </c>
      <c r="L191" s="2" t="n">
        <v>4</v>
      </c>
      <c r="M191" s="2" t="str">
        <f aca="false">IF($H191="Outstanding",MAX(0,Summary!$B$3-$F191),"")</f>
        <v/>
      </c>
      <c r="N191" s="2" t="str">
        <f aca="false">IF($M191="","",IF($M191=0,"Current",IF($M191&lt;=30,"1-30",IF($M191&lt;=60,"31-60",IF($M191&lt;=90,"61-90","90+")))))</f>
        <v/>
      </c>
      <c r="O191" s="4" t="n">
        <f aca="false">IF($H191="Outstanding",$G191,0)</f>
        <v>0</v>
      </c>
      <c r="P191" s="5" t="n">
        <f aca="false">$O191*IF($M191="",0,$M191)</f>
        <v>0</v>
      </c>
    </row>
    <row r="192" customFormat="false" ht="15" hidden="false" customHeight="false" outlineLevel="0" collapsed="false">
      <c r="A192" s="2" t="s">
        <v>245</v>
      </c>
      <c r="B192" s="2" t="s">
        <v>40</v>
      </c>
      <c r="C192" s="2" t="s">
        <v>41</v>
      </c>
      <c r="D192" s="3" t="n">
        <v>46099</v>
      </c>
      <c r="E192" s="2" t="n">
        <v>30</v>
      </c>
      <c r="F192" s="3" t="n">
        <v>46129</v>
      </c>
      <c r="G192" s="4" t="n">
        <v>18200</v>
      </c>
      <c r="H192" s="2" t="s">
        <v>221</v>
      </c>
      <c r="I192" s="3"/>
      <c r="J192" s="4" t="n">
        <v>0</v>
      </c>
      <c r="K192" s="2"/>
      <c r="L192" s="2"/>
      <c r="M192" s="2" t="n">
        <f aca="false">IF($H192="Outstanding",MAX(0,Summary!$B$3-$F192),"")</f>
        <v>96</v>
      </c>
      <c r="N192" s="2" t="str">
        <f aca="false">IF($M192="","",IF($M192=0,"Current",IF($M192&lt;=30,"1-30",IF($M192&lt;=60,"31-60",IF($M192&lt;=90,"61-90","90+")))))</f>
        <v>90+</v>
      </c>
      <c r="O192" s="4" t="n">
        <f aca="false">IF($H192="Outstanding",$G192,0)</f>
        <v>18200</v>
      </c>
      <c r="P192" s="5" t="n">
        <f aca="false">$O192*IF($M192="",0,$M192)</f>
        <v>1747200</v>
      </c>
    </row>
    <row r="193" customFormat="false" ht="15" hidden="false" customHeight="false" outlineLevel="0" collapsed="false">
      <c r="A193" s="2" t="s">
        <v>246</v>
      </c>
      <c r="B193" s="2" t="s">
        <v>43</v>
      </c>
      <c r="C193" s="2" t="s">
        <v>44</v>
      </c>
      <c r="D193" s="3" t="n">
        <v>46104</v>
      </c>
      <c r="E193" s="2" t="n">
        <v>30</v>
      </c>
      <c r="F193" s="3" t="n">
        <v>46134</v>
      </c>
      <c r="G193" s="4" t="n">
        <v>33100</v>
      </c>
      <c r="H193" s="2" t="s">
        <v>19</v>
      </c>
      <c r="I193" s="3" t="n">
        <v>46160</v>
      </c>
      <c r="J193" s="4" t="n">
        <v>33100</v>
      </c>
      <c r="K193" s="2" t="n">
        <v>56</v>
      </c>
      <c r="L193" s="2" t="n">
        <v>26</v>
      </c>
      <c r="M193" s="2" t="str">
        <f aca="false">IF($H193="Outstanding",MAX(0,Summary!$B$3-$F193),"")</f>
        <v/>
      </c>
      <c r="N193" s="2" t="str">
        <f aca="false">IF($M193="","",IF($M193=0,"Current",IF($M193&lt;=30,"1-30",IF($M193&lt;=60,"31-60",IF($M193&lt;=90,"61-90","90+")))))</f>
        <v/>
      </c>
      <c r="O193" s="4" t="n">
        <f aca="false">IF($H193="Outstanding",$G193,0)</f>
        <v>0</v>
      </c>
      <c r="P193" s="5" t="n">
        <f aca="false">$O193*IF($M193="",0,$M193)</f>
        <v>0</v>
      </c>
    </row>
    <row r="194" customFormat="false" ht="15" hidden="false" customHeight="false" outlineLevel="0" collapsed="false">
      <c r="A194" s="2" t="s">
        <v>247</v>
      </c>
      <c r="B194" s="2" t="s">
        <v>88</v>
      </c>
      <c r="C194" s="2" t="s">
        <v>89</v>
      </c>
      <c r="D194" s="3" t="n">
        <v>46086</v>
      </c>
      <c r="E194" s="2" t="n">
        <v>30</v>
      </c>
      <c r="F194" s="3" t="n">
        <v>46116</v>
      </c>
      <c r="G194" s="4" t="n">
        <v>4000</v>
      </c>
      <c r="H194" s="2" t="s">
        <v>19</v>
      </c>
      <c r="I194" s="3" t="n">
        <v>46118</v>
      </c>
      <c r="J194" s="4" t="n">
        <v>4000</v>
      </c>
      <c r="K194" s="2" t="n">
        <v>32</v>
      </c>
      <c r="L194" s="2" t="n">
        <v>2</v>
      </c>
      <c r="M194" s="2" t="str">
        <f aca="false">IF($H194="Outstanding",MAX(0,Summary!$B$3-$F194),"")</f>
        <v/>
      </c>
      <c r="N194" s="2" t="str">
        <f aca="false">IF($M194="","",IF($M194=0,"Current",IF($M194&lt;=30,"1-30",IF($M194&lt;=60,"31-60",IF($M194&lt;=90,"61-90","90+")))))</f>
        <v/>
      </c>
      <c r="O194" s="4" t="n">
        <f aca="false">IF($H194="Outstanding",$G194,0)</f>
        <v>0</v>
      </c>
      <c r="P194" s="5" t="n">
        <f aca="false">$O194*IF($M194="",0,$M194)</f>
        <v>0</v>
      </c>
    </row>
    <row r="195" customFormat="false" ht="15" hidden="false" customHeight="false" outlineLevel="0" collapsed="false">
      <c r="A195" s="2" t="s">
        <v>248</v>
      </c>
      <c r="B195" s="2" t="s">
        <v>52</v>
      </c>
      <c r="C195" s="2" t="s">
        <v>53</v>
      </c>
      <c r="D195" s="3" t="n">
        <v>46093</v>
      </c>
      <c r="E195" s="2" t="n">
        <v>30</v>
      </c>
      <c r="F195" s="3" t="n">
        <v>46123</v>
      </c>
      <c r="G195" s="4" t="n">
        <v>5450</v>
      </c>
      <c r="H195" s="2" t="s">
        <v>19</v>
      </c>
      <c r="I195" s="3" t="n">
        <v>46146</v>
      </c>
      <c r="J195" s="4" t="n">
        <v>5450</v>
      </c>
      <c r="K195" s="2" t="n">
        <v>53</v>
      </c>
      <c r="L195" s="2" t="n">
        <v>22</v>
      </c>
      <c r="M195" s="2" t="str">
        <f aca="false">IF($H195="Outstanding",MAX(0,Summary!$B$3-$F195),"")</f>
        <v/>
      </c>
      <c r="N195" s="2" t="str">
        <f aca="false">IF($M195="","",IF($M195=0,"Current",IF($M195&lt;=30,"1-30",IF($M195&lt;=60,"31-60",IF($M195&lt;=90,"61-90","90+")))))</f>
        <v/>
      </c>
      <c r="O195" s="4" t="n">
        <f aca="false">IF($H195="Outstanding",$G195,0)</f>
        <v>0</v>
      </c>
      <c r="P195" s="5" t="n">
        <f aca="false">$O195*IF($M195="",0,$M195)</f>
        <v>0</v>
      </c>
    </row>
    <row r="196" customFormat="false" ht="15" hidden="false" customHeight="false" outlineLevel="0" collapsed="false">
      <c r="A196" s="2" t="s">
        <v>249</v>
      </c>
      <c r="B196" s="2" t="s">
        <v>24</v>
      </c>
      <c r="C196" s="2" t="s">
        <v>25</v>
      </c>
      <c r="D196" s="3" t="n">
        <v>46104</v>
      </c>
      <c r="E196" s="2" t="n">
        <v>30</v>
      </c>
      <c r="F196" s="3" t="n">
        <v>46134</v>
      </c>
      <c r="G196" s="4" t="n">
        <v>5600</v>
      </c>
      <c r="H196" s="2" t="s">
        <v>19</v>
      </c>
      <c r="I196" s="3" t="n">
        <v>46171</v>
      </c>
      <c r="J196" s="4" t="n">
        <v>5600</v>
      </c>
      <c r="K196" s="2" t="n">
        <v>67</v>
      </c>
      <c r="L196" s="2" t="n">
        <v>37</v>
      </c>
      <c r="M196" s="2" t="str">
        <f aca="false">IF($H196="Outstanding",MAX(0,Summary!$B$3-$F196),"")</f>
        <v/>
      </c>
      <c r="N196" s="2" t="str">
        <f aca="false">IF($M196="","",IF($M196=0,"Current",IF($M196&lt;=30,"1-30",IF($M196&lt;=60,"31-60",IF($M196&lt;=90,"61-90","90+")))))</f>
        <v/>
      </c>
      <c r="O196" s="4" t="n">
        <f aca="false">IF($H196="Outstanding",$G196,0)</f>
        <v>0</v>
      </c>
      <c r="P196" s="5" t="n">
        <f aca="false">$O196*IF($M196="",0,$M196)</f>
        <v>0</v>
      </c>
    </row>
    <row r="197" customFormat="false" ht="15" hidden="false" customHeight="false" outlineLevel="0" collapsed="false">
      <c r="A197" s="2" t="s">
        <v>250</v>
      </c>
      <c r="B197" s="2" t="s">
        <v>63</v>
      </c>
      <c r="C197" s="2" t="s">
        <v>64</v>
      </c>
      <c r="D197" s="3" t="n">
        <v>46115</v>
      </c>
      <c r="E197" s="2" t="n">
        <v>15</v>
      </c>
      <c r="F197" s="3" t="n">
        <v>46130</v>
      </c>
      <c r="G197" s="4" t="n">
        <v>4950</v>
      </c>
      <c r="H197" s="2" t="s">
        <v>19</v>
      </c>
      <c r="I197" s="3" t="n">
        <v>46133</v>
      </c>
      <c r="J197" s="4" t="n">
        <v>4950</v>
      </c>
      <c r="K197" s="2" t="n">
        <v>18</v>
      </c>
      <c r="L197" s="2" t="n">
        <v>3</v>
      </c>
      <c r="M197" s="2" t="str">
        <f aca="false">IF($H197="Outstanding",MAX(0,Summary!$B$3-$F197),"")</f>
        <v/>
      </c>
      <c r="N197" s="2" t="str">
        <f aca="false">IF($M197="","",IF($M197=0,"Current",IF($M197&lt;=30,"1-30",IF($M197&lt;=60,"31-60",IF($M197&lt;=90,"61-90","90+")))))</f>
        <v/>
      </c>
      <c r="O197" s="4" t="n">
        <f aca="false">IF($H197="Outstanding",$G197,0)</f>
        <v>0</v>
      </c>
      <c r="P197" s="5" t="n">
        <f aca="false">$O197*IF($M197="",0,$M197)</f>
        <v>0</v>
      </c>
    </row>
    <row r="198" customFormat="false" ht="15" hidden="false" customHeight="false" outlineLevel="0" collapsed="false">
      <c r="A198" s="2" t="s">
        <v>251</v>
      </c>
      <c r="B198" s="2" t="s">
        <v>21</v>
      </c>
      <c r="C198" s="2" t="s">
        <v>22</v>
      </c>
      <c r="D198" s="3" t="n">
        <v>46125</v>
      </c>
      <c r="E198" s="2" t="n">
        <v>30</v>
      </c>
      <c r="F198" s="3" t="n">
        <v>46155</v>
      </c>
      <c r="G198" s="4" t="n">
        <v>14650</v>
      </c>
      <c r="H198" s="2" t="s">
        <v>19</v>
      </c>
      <c r="I198" s="3" t="n">
        <v>46197</v>
      </c>
      <c r="J198" s="4" t="n">
        <v>14650</v>
      </c>
      <c r="K198" s="2" t="n">
        <v>72</v>
      </c>
      <c r="L198" s="2" t="n">
        <v>42</v>
      </c>
      <c r="M198" s="2" t="str">
        <f aca="false">IF($H198="Outstanding",MAX(0,Summary!$B$3-$F198),"")</f>
        <v/>
      </c>
      <c r="N198" s="2" t="str">
        <f aca="false">IF($M198="","",IF($M198=0,"Current",IF($M198&lt;=30,"1-30",IF($M198&lt;=60,"31-60",IF($M198&lt;=90,"61-90","90+")))))</f>
        <v/>
      </c>
      <c r="O198" s="4" t="n">
        <f aca="false">IF($H198="Outstanding",$G198,0)</f>
        <v>0</v>
      </c>
      <c r="P198" s="5" t="n">
        <f aca="false">$O198*IF($M198="",0,$M198)</f>
        <v>0</v>
      </c>
    </row>
    <row r="199" customFormat="false" ht="15" hidden="false" customHeight="false" outlineLevel="0" collapsed="false">
      <c r="A199" s="2" t="s">
        <v>252</v>
      </c>
      <c r="B199" s="2" t="s">
        <v>21</v>
      </c>
      <c r="C199" s="2" t="s">
        <v>22</v>
      </c>
      <c r="D199" s="3" t="n">
        <v>46135</v>
      </c>
      <c r="E199" s="2" t="n">
        <v>30</v>
      </c>
      <c r="F199" s="3" t="n">
        <v>46165</v>
      </c>
      <c r="G199" s="4" t="n">
        <v>17450</v>
      </c>
      <c r="H199" s="2" t="s">
        <v>19</v>
      </c>
      <c r="I199" s="3" t="n">
        <v>46216</v>
      </c>
      <c r="J199" s="4" t="n">
        <v>17450</v>
      </c>
      <c r="K199" s="2" t="n">
        <v>81</v>
      </c>
      <c r="L199" s="2" t="n">
        <v>49</v>
      </c>
      <c r="M199" s="2" t="str">
        <f aca="false">IF($H199="Outstanding",MAX(0,Summary!$B$3-$F199),"")</f>
        <v/>
      </c>
      <c r="N199" s="2" t="str">
        <f aca="false">IF($M199="","",IF($M199=0,"Current",IF($M199&lt;=30,"1-30",IF($M199&lt;=60,"31-60",IF($M199&lt;=90,"61-90","90+")))))</f>
        <v/>
      </c>
      <c r="O199" s="4" t="n">
        <f aca="false">IF($H199="Outstanding",$G199,0)</f>
        <v>0</v>
      </c>
      <c r="P199" s="5" t="n">
        <f aca="false">$O199*IF($M199="",0,$M199)</f>
        <v>0</v>
      </c>
    </row>
    <row r="200" customFormat="false" ht="15" hidden="false" customHeight="false" outlineLevel="0" collapsed="false">
      <c r="A200" s="2" t="s">
        <v>253</v>
      </c>
      <c r="B200" s="2" t="s">
        <v>47</v>
      </c>
      <c r="C200" s="2" t="s">
        <v>48</v>
      </c>
      <c r="D200" s="3" t="n">
        <v>46136</v>
      </c>
      <c r="E200" s="2" t="n">
        <v>15</v>
      </c>
      <c r="F200" s="3" t="n">
        <v>46151</v>
      </c>
      <c r="G200" s="4" t="n">
        <v>4500</v>
      </c>
      <c r="H200" s="2" t="s">
        <v>19</v>
      </c>
      <c r="I200" s="3" t="n">
        <v>46153</v>
      </c>
      <c r="J200" s="4" t="n">
        <v>4500</v>
      </c>
      <c r="K200" s="2" t="n">
        <v>17</v>
      </c>
      <c r="L200" s="2" t="n">
        <v>2</v>
      </c>
      <c r="M200" s="2" t="str">
        <f aca="false">IF($H200="Outstanding",MAX(0,Summary!$B$3-$F200),"")</f>
        <v/>
      </c>
      <c r="N200" s="2" t="str">
        <f aca="false">IF($M200="","",IF($M200=0,"Current",IF($M200&lt;=30,"1-30",IF($M200&lt;=60,"31-60",IF($M200&lt;=90,"61-90","90+")))))</f>
        <v/>
      </c>
      <c r="O200" s="4" t="n">
        <f aca="false">IF($H200="Outstanding",$G200,0)</f>
        <v>0</v>
      </c>
      <c r="P200" s="5" t="n">
        <f aca="false">$O200*IF($M200="",0,$M200)</f>
        <v>0</v>
      </c>
    </row>
    <row r="201" customFormat="false" ht="15" hidden="false" customHeight="false" outlineLevel="0" collapsed="false">
      <c r="A201" s="2" t="s">
        <v>254</v>
      </c>
      <c r="B201" s="2" t="s">
        <v>55</v>
      </c>
      <c r="C201" s="2" t="s">
        <v>56</v>
      </c>
      <c r="D201" s="3" t="n">
        <v>46134</v>
      </c>
      <c r="E201" s="2" t="n">
        <v>30</v>
      </c>
      <c r="F201" s="3" t="n">
        <v>46164</v>
      </c>
      <c r="G201" s="4" t="n">
        <v>7650</v>
      </c>
      <c r="H201" s="2" t="s">
        <v>19</v>
      </c>
      <c r="I201" s="3" t="n">
        <v>46189</v>
      </c>
      <c r="J201" s="4" t="n">
        <v>7650</v>
      </c>
      <c r="K201" s="2" t="n">
        <v>55</v>
      </c>
      <c r="L201" s="2" t="n">
        <v>25</v>
      </c>
      <c r="M201" s="2" t="str">
        <f aca="false">IF($H201="Outstanding",MAX(0,Summary!$B$3-$F201),"")</f>
        <v/>
      </c>
      <c r="N201" s="2" t="str">
        <f aca="false">IF($M201="","",IF($M201=0,"Current",IF($M201&lt;=30,"1-30",IF($M201&lt;=60,"31-60",IF($M201&lt;=90,"61-90","90+")))))</f>
        <v/>
      </c>
      <c r="O201" s="4" t="n">
        <f aca="false">IF($H201="Outstanding",$G201,0)</f>
        <v>0</v>
      </c>
      <c r="P201" s="5" t="n">
        <f aca="false">$O201*IF($M201="",0,$M201)</f>
        <v>0</v>
      </c>
    </row>
    <row r="202" customFormat="false" ht="15" hidden="false" customHeight="false" outlineLevel="0" collapsed="false">
      <c r="A202" s="2" t="s">
        <v>255</v>
      </c>
      <c r="B202" s="2" t="s">
        <v>40</v>
      </c>
      <c r="C202" s="2" t="s">
        <v>41</v>
      </c>
      <c r="D202" s="3" t="n">
        <v>46125</v>
      </c>
      <c r="E202" s="2" t="n">
        <v>30</v>
      </c>
      <c r="F202" s="3" t="n">
        <v>46155</v>
      </c>
      <c r="G202" s="4" t="n">
        <v>6350</v>
      </c>
      <c r="H202" s="2" t="s">
        <v>19</v>
      </c>
      <c r="I202" s="3" t="n">
        <v>46189</v>
      </c>
      <c r="J202" s="4" t="n">
        <v>6350</v>
      </c>
      <c r="K202" s="2" t="n">
        <v>64</v>
      </c>
      <c r="L202" s="2" t="n">
        <v>34</v>
      </c>
      <c r="M202" s="2" t="str">
        <f aca="false">IF($H202="Outstanding",MAX(0,Summary!$B$3-$F202),"")</f>
        <v/>
      </c>
      <c r="N202" s="2" t="str">
        <f aca="false">IF($M202="","",IF($M202=0,"Current",IF($M202&lt;=30,"1-30",IF($M202&lt;=60,"31-60",IF($M202&lt;=90,"61-90","90+")))))</f>
        <v/>
      </c>
      <c r="O202" s="4" t="n">
        <f aca="false">IF($H202="Outstanding",$G202,0)</f>
        <v>0</v>
      </c>
      <c r="P202" s="5" t="n">
        <f aca="false">$O202*IF($M202="",0,$M202)</f>
        <v>0</v>
      </c>
    </row>
    <row r="203" customFormat="false" ht="15" hidden="false" customHeight="false" outlineLevel="0" collapsed="false">
      <c r="A203" s="2" t="s">
        <v>256</v>
      </c>
      <c r="B203" s="2" t="s">
        <v>67</v>
      </c>
      <c r="C203" s="2" t="s">
        <v>68</v>
      </c>
      <c r="D203" s="3" t="n">
        <v>46125</v>
      </c>
      <c r="E203" s="2" t="n">
        <v>30</v>
      </c>
      <c r="F203" s="3" t="n">
        <v>46155</v>
      </c>
      <c r="G203" s="4" t="n">
        <v>11600</v>
      </c>
      <c r="H203" s="2" t="s">
        <v>19</v>
      </c>
      <c r="I203" s="3" t="n">
        <v>46174</v>
      </c>
      <c r="J203" s="4" t="n">
        <v>11600</v>
      </c>
      <c r="K203" s="2" t="n">
        <v>49</v>
      </c>
      <c r="L203" s="2" t="n">
        <v>17</v>
      </c>
      <c r="M203" s="2" t="str">
        <f aca="false">IF($H203="Outstanding",MAX(0,Summary!$B$3-$F203),"")</f>
        <v/>
      </c>
      <c r="N203" s="2" t="str">
        <f aca="false">IF($M203="","",IF($M203=0,"Current",IF($M203&lt;=30,"1-30",IF($M203&lt;=60,"31-60",IF($M203&lt;=90,"61-90","90+")))))</f>
        <v/>
      </c>
      <c r="O203" s="4" t="n">
        <f aca="false">IF($H203="Outstanding",$G203,0)</f>
        <v>0</v>
      </c>
      <c r="P203" s="5" t="n">
        <f aca="false">$O203*IF($M203="",0,$M203)</f>
        <v>0</v>
      </c>
    </row>
    <row r="204" customFormat="false" ht="15" hidden="false" customHeight="false" outlineLevel="0" collapsed="false">
      <c r="A204" s="2" t="s">
        <v>257</v>
      </c>
      <c r="B204" s="2" t="s">
        <v>60</v>
      </c>
      <c r="C204" s="2" t="s">
        <v>61</v>
      </c>
      <c r="D204" s="3" t="n">
        <v>46128</v>
      </c>
      <c r="E204" s="2" t="n">
        <v>15</v>
      </c>
      <c r="F204" s="3" t="n">
        <v>46143</v>
      </c>
      <c r="G204" s="4" t="n">
        <v>2350</v>
      </c>
      <c r="H204" s="2" t="s">
        <v>19</v>
      </c>
      <c r="I204" s="3" t="n">
        <v>46146</v>
      </c>
      <c r="J204" s="4" t="n">
        <v>2350</v>
      </c>
      <c r="K204" s="2" t="n">
        <v>18</v>
      </c>
      <c r="L204" s="2" t="n">
        <v>2</v>
      </c>
      <c r="M204" s="2" t="str">
        <f aca="false">IF($H204="Outstanding",MAX(0,Summary!$B$3-$F204),"")</f>
        <v/>
      </c>
      <c r="N204" s="2" t="str">
        <f aca="false">IF($M204="","",IF($M204=0,"Current",IF($M204&lt;=30,"1-30",IF($M204&lt;=60,"31-60",IF($M204&lt;=90,"61-90","90+")))))</f>
        <v/>
      </c>
      <c r="O204" s="4" t="n">
        <f aca="false">IF($H204="Outstanding",$G204,0)</f>
        <v>0</v>
      </c>
      <c r="P204" s="5" t="n">
        <f aca="false">$O204*IF($M204="",0,$M204)</f>
        <v>0</v>
      </c>
    </row>
    <row r="205" customFormat="false" ht="15" hidden="false" customHeight="false" outlineLevel="0" collapsed="false">
      <c r="A205" s="2" t="s">
        <v>258</v>
      </c>
      <c r="B205" s="2" t="s">
        <v>77</v>
      </c>
      <c r="C205" s="2" t="s">
        <v>78</v>
      </c>
      <c r="D205" s="3" t="n">
        <v>46122</v>
      </c>
      <c r="E205" s="2" t="n">
        <v>30</v>
      </c>
      <c r="F205" s="3" t="n">
        <v>46152</v>
      </c>
      <c r="G205" s="4" t="n">
        <v>33350</v>
      </c>
      <c r="H205" s="2" t="s">
        <v>19</v>
      </c>
      <c r="I205" s="3" t="n">
        <v>46161</v>
      </c>
      <c r="J205" s="4" t="n">
        <v>33350</v>
      </c>
      <c r="K205" s="2" t="n">
        <v>39</v>
      </c>
      <c r="L205" s="2" t="n">
        <v>9</v>
      </c>
      <c r="M205" s="2" t="str">
        <f aca="false">IF($H205="Outstanding",MAX(0,Summary!$B$3-$F205),"")</f>
        <v/>
      </c>
      <c r="N205" s="2" t="str">
        <f aca="false">IF($M205="","",IF($M205=0,"Current",IF($M205&lt;=30,"1-30",IF($M205&lt;=60,"31-60",IF($M205&lt;=90,"61-90","90+")))))</f>
        <v/>
      </c>
      <c r="O205" s="4" t="n">
        <f aca="false">IF($H205="Outstanding",$G205,0)</f>
        <v>0</v>
      </c>
      <c r="P205" s="5" t="n">
        <f aca="false">$O205*IF($M205="",0,$M205)</f>
        <v>0</v>
      </c>
    </row>
    <row r="206" customFormat="false" ht="15" hidden="false" customHeight="false" outlineLevel="0" collapsed="false">
      <c r="A206" s="2" t="s">
        <v>259</v>
      </c>
      <c r="B206" s="2" t="s">
        <v>84</v>
      </c>
      <c r="C206" s="2" t="s">
        <v>85</v>
      </c>
      <c r="D206" s="3" t="n">
        <v>46118</v>
      </c>
      <c r="E206" s="2" t="n">
        <v>30</v>
      </c>
      <c r="F206" s="3" t="n">
        <v>46148</v>
      </c>
      <c r="G206" s="4" t="n">
        <v>8600</v>
      </c>
      <c r="H206" s="2" t="s">
        <v>19</v>
      </c>
      <c r="I206" s="3" t="n">
        <v>46146</v>
      </c>
      <c r="J206" s="4" t="n">
        <v>8600</v>
      </c>
      <c r="K206" s="2" t="n">
        <v>28</v>
      </c>
      <c r="L206" s="2" t="n">
        <v>-4</v>
      </c>
      <c r="M206" s="2" t="str">
        <f aca="false">IF($H206="Outstanding",MAX(0,Summary!$B$3-$F206),"")</f>
        <v/>
      </c>
      <c r="N206" s="2" t="str">
        <f aca="false">IF($M206="","",IF($M206=0,"Current",IF($M206&lt;=30,"1-30",IF($M206&lt;=60,"31-60",IF($M206&lt;=90,"61-90","90+")))))</f>
        <v/>
      </c>
      <c r="O206" s="4" t="n">
        <f aca="false">IF($H206="Outstanding",$G206,0)</f>
        <v>0</v>
      </c>
      <c r="P206" s="5" t="n">
        <f aca="false">$O206*IF($M206="",0,$M206)</f>
        <v>0</v>
      </c>
    </row>
    <row r="207" customFormat="false" ht="15" hidden="false" customHeight="false" outlineLevel="0" collapsed="false">
      <c r="A207" s="2" t="s">
        <v>260</v>
      </c>
      <c r="B207" s="2" t="s">
        <v>88</v>
      </c>
      <c r="C207" s="2" t="s">
        <v>89</v>
      </c>
      <c r="D207" s="3" t="n">
        <v>46129</v>
      </c>
      <c r="E207" s="2" t="n">
        <v>30</v>
      </c>
      <c r="F207" s="3" t="n">
        <v>46159</v>
      </c>
      <c r="G207" s="4" t="n">
        <v>1800</v>
      </c>
      <c r="H207" s="2" t="s">
        <v>19</v>
      </c>
      <c r="I207" s="3" t="n">
        <v>46161</v>
      </c>
      <c r="J207" s="4" t="n">
        <v>1800</v>
      </c>
      <c r="K207" s="2" t="n">
        <v>32</v>
      </c>
      <c r="L207" s="2" t="n">
        <v>2</v>
      </c>
      <c r="M207" s="2" t="str">
        <f aca="false">IF($H207="Outstanding",MAX(0,Summary!$B$3-$F207),"")</f>
        <v/>
      </c>
      <c r="N207" s="2" t="str">
        <f aca="false">IF($M207="","",IF($M207=0,"Current",IF($M207&lt;=30,"1-30",IF($M207&lt;=60,"31-60",IF($M207&lt;=90,"61-90","90+")))))</f>
        <v/>
      </c>
      <c r="O207" s="4" t="n">
        <f aca="false">IF($H207="Outstanding",$G207,0)</f>
        <v>0</v>
      </c>
      <c r="P207" s="5" t="n">
        <f aca="false">$O207*IF($M207="",0,$M207)</f>
        <v>0</v>
      </c>
    </row>
    <row r="208" customFormat="false" ht="15" hidden="false" customHeight="false" outlineLevel="0" collapsed="false">
      <c r="A208" s="2" t="s">
        <v>261</v>
      </c>
      <c r="B208" s="2" t="s">
        <v>30</v>
      </c>
      <c r="C208" s="2" t="s">
        <v>31</v>
      </c>
      <c r="D208" s="3" t="n">
        <v>46125</v>
      </c>
      <c r="E208" s="2" t="n">
        <v>30</v>
      </c>
      <c r="F208" s="3" t="n">
        <v>46155</v>
      </c>
      <c r="G208" s="4" t="n">
        <v>21550</v>
      </c>
      <c r="H208" s="2" t="s">
        <v>19</v>
      </c>
      <c r="I208" s="3" t="n">
        <v>46167</v>
      </c>
      <c r="J208" s="4" t="n">
        <v>21550</v>
      </c>
      <c r="K208" s="2" t="n">
        <v>42</v>
      </c>
      <c r="L208" s="2" t="n">
        <v>11</v>
      </c>
      <c r="M208" s="2" t="str">
        <f aca="false">IF($H208="Outstanding",MAX(0,Summary!$B$3-$F208),"")</f>
        <v/>
      </c>
      <c r="N208" s="2" t="str">
        <f aca="false">IF($M208="","",IF($M208=0,"Current",IF($M208&lt;=30,"1-30",IF($M208&lt;=60,"31-60",IF($M208&lt;=90,"61-90","90+")))))</f>
        <v/>
      </c>
      <c r="O208" s="4" t="n">
        <f aca="false">IF($H208="Outstanding",$G208,0)</f>
        <v>0</v>
      </c>
      <c r="P208" s="5" t="n">
        <f aca="false">$O208*IF($M208="",0,$M208)</f>
        <v>0</v>
      </c>
    </row>
    <row r="209" customFormat="false" ht="15" hidden="false" customHeight="false" outlineLevel="0" collapsed="false">
      <c r="A209" s="2" t="s">
        <v>262</v>
      </c>
      <c r="B209" s="2" t="s">
        <v>43</v>
      </c>
      <c r="C209" s="2" t="s">
        <v>44</v>
      </c>
      <c r="D209" s="3" t="n">
        <v>46118</v>
      </c>
      <c r="E209" s="2" t="n">
        <v>30</v>
      </c>
      <c r="F209" s="3" t="n">
        <v>46148</v>
      </c>
      <c r="G209" s="4" t="n">
        <v>13050</v>
      </c>
      <c r="H209" s="2" t="s">
        <v>19</v>
      </c>
      <c r="I209" s="3" t="n">
        <v>46153</v>
      </c>
      <c r="J209" s="4" t="n">
        <v>13050</v>
      </c>
      <c r="K209" s="2" t="n">
        <v>35</v>
      </c>
      <c r="L209" s="2" t="n">
        <v>3</v>
      </c>
      <c r="M209" s="2" t="str">
        <f aca="false">IF($H209="Outstanding",MAX(0,Summary!$B$3-$F209),"")</f>
        <v/>
      </c>
      <c r="N209" s="2" t="str">
        <f aca="false">IF($M209="","",IF($M209=0,"Current",IF($M209&lt;=30,"1-30",IF($M209&lt;=60,"31-60",IF($M209&lt;=90,"61-90","90+")))))</f>
        <v/>
      </c>
      <c r="O209" s="4" t="n">
        <f aca="false">IF($H209="Outstanding",$G209,0)</f>
        <v>0</v>
      </c>
      <c r="P209" s="5" t="n">
        <f aca="false">$O209*IF($M209="",0,$M209)</f>
        <v>0</v>
      </c>
    </row>
    <row r="210" customFormat="false" ht="15" hidden="false" customHeight="false" outlineLevel="0" collapsed="false">
      <c r="A210" s="2" t="s">
        <v>263</v>
      </c>
      <c r="B210" s="2" t="s">
        <v>27</v>
      </c>
      <c r="C210" s="2" t="s">
        <v>28</v>
      </c>
      <c r="D210" s="3" t="n">
        <v>46167</v>
      </c>
      <c r="E210" s="2" t="n">
        <v>45</v>
      </c>
      <c r="F210" s="3" t="n">
        <v>46212</v>
      </c>
      <c r="G210" s="4" t="n">
        <v>26250</v>
      </c>
      <c r="H210" s="2" t="s">
        <v>221</v>
      </c>
      <c r="I210" s="3"/>
      <c r="J210" s="4" t="n">
        <v>0</v>
      </c>
      <c r="K210" s="2"/>
      <c r="L210" s="2"/>
      <c r="M210" s="2" t="n">
        <f aca="false">IF($H210="Outstanding",MAX(0,Summary!$B$3-$F210),"")</f>
        <v>13</v>
      </c>
      <c r="N210" s="2" t="str">
        <f aca="false">IF($M210="","",IF($M210=0,"Current",IF($M210&lt;=30,"1-30",IF($M210&lt;=60,"31-60",IF($M210&lt;=90,"61-90","90+")))))</f>
        <v>1-30</v>
      </c>
      <c r="O210" s="4" t="n">
        <f aca="false">IF($H210="Outstanding",$G210,0)</f>
        <v>26250</v>
      </c>
      <c r="P210" s="5" t="n">
        <f aca="false">$O210*IF($M210="",0,$M210)</f>
        <v>341250</v>
      </c>
    </row>
    <row r="211" customFormat="false" ht="15" hidden="false" customHeight="false" outlineLevel="0" collapsed="false">
      <c r="A211" s="2" t="s">
        <v>264</v>
      </c>
      <c r="B211" s="2" t="s">
        <v>30</v>
      </c>
      <c r="C211" s="2" t="s">
        <v>31</v>
      </c>
      <c r="D211" s="3" t="n">
        <v>46146</v>
      </c>
      <c r="E211" s="2" t="n">
        <v>30</v>
      </c>
      <c r="F211" s="3" t="n">
        <v>46176</v>
      </c>
      <c r="G211" s="4" t="n">
        <v>12200</v>
      </c>
      <c r="H211" s="2" t="s">
        <v>19</v>
      </c>
      <c r="I211" s="3" t="n">
        <v>46188</v>
      </c>
      <c r="J211" s="4" t="n">
        <v>12200</v>
      </c>
      <c r="K211" s="2" t="n">
        <v>42</v>
      </c>
      <c r="L211" s="2" t="n">
        <v>12</v>
      </c>
      <c r="M211" s="2" t="str">
        <f aca="false">IF($H211="Outstanding",MAX(0,Summary!$B$3-$F211),"")</f>
        <v/>
      </c>
      <c r="N211" s="2" t="str">
        <f aca="false">IF($M211="","",IF($M211=0,"Current",IF($M211&lt;=30,"1-30",IF($M211&lt;=60,"31-60",IF($M211&lt;=90,"61-90","90+")))))</f>
        <v/>
      </c>
      <c r="O211" s="4" t="n">
        <f aca="false">IF($H211="Outstanding",$G211,0)</f>
        <v>0</v>
      </c>
      <c r="P211" s="5" t="n">
        <f aca="false">$O211*IF($M211="",0,$M211)</f>
        <v>0</v>
      </c>
    </row>
    <row r="212" customFormat="false" ht="15" hidden="false" customHeight="false" outlineLevel="0" collapsed="false">
      <c r="A212" s="2" t="s">
        <v>265</v>
      </c>
      <c r="B212" s="2" t="s">
        <v>40</v>
      </c>
      <c r="C212" s="2" t="s">
        <v>41</v>
      </c>
      <c r="D212" s="3" t="n">
        <v>46164</v>
      </c>
      <c r="E212" s="2" t="n">
        <v>30</v>
      </c>
      <c r="F212" s="3" t="n">
        <v>46194</v>
      </c>
      <c r="G212" s="4" t="n">
        <v>18950</v>
      </c>
      <c r="H212" s="2" t="s">
        <v>221</v>
      </c>
      <c r="I212" s="3"/>
      <c r="J212" s="4" t="n">
        <v>0</v>
      </c>
      <c r="K212" s="2"/>
      <c r="L212" s="2"/>
      <c r="M212" s="2" t="n">
        <f aca="false">IF($H212="Outstanding",MAX(0,Summary!$B$3-$F212),"")</f>
        <v>31</v>
      </c>
      <c r="N212" s="2" t="str">
        <f aca="false">IF($M212="","",IF($M212=0,"Current",IF($M212&lt;=30,"1-30",IF($M212&lt;=60,"31-60",IF($M212&lt;=90,"61-90","90+")))))</f>
        <v>31-60</v>
      </c>
      <c r="O212" s="4" t="n">
        <f aca="false">IF($H212="Outstanding",$G212,0)</f>
        <v>18950</v>
      </c>
      <c r="P212" s="5" t="n">
        <f aca="false">$O212*IF($M212="",0,$M212)</f>
        <v>587450</v>
      </c>
    </row>
    <row r="213" customFormat="false" ht="15" hidden="false" customHeight="false" outlineLevel="0" collapsed="false">
      <c r="A213" s="2" t="s">
        <v>266</v>
      </c>
      <c r="B213" s="2" t="s">
        <v>30</v>
      </c>
      <c r="C213" s="2" t="s">
        <v>31</v>
      </c>
      <c r="D213" s="3" t="n">
        <v>46167</v>
      </c>
      <c r="E213" s="2" t="n">
        <v>30</v>
      </c>
      <c r="F213" s="3" t="n">
        <v>46197</v>
      </c>
      <c r="G213" s="4" t="n">
        <v>18950</v>
      </c>
      <c r="H213" s="2" t="s">
        <v>19</v>
      </c>
      <c r="I213" s="3" t="n">
        <v>46212</v>
      </c>
      <c r="J213" s="4" t="n">
        <v>18950</v>
      </c>
      <c r="K213" s="2" t="n">
        <v>45</v>
      </c>
      <c r="L213" s="2" t="n">
        <v>15</v>
      </c>
      <c r="M213" s="2" t="str">
        <f aca="false">IF($H213="Outstanding",MAX(0,Summary!$B$3-$F213),"")</f>
        <v/>
      </c>
      <c r="N213" s="2" t="str">
        <f aca="false">IF($M213="","",IF($M213=0,"Current",IF($M213&lt;=30,"1-30",IF($M213&lt;=60,"31-60",IF($M213&lt;=90,"61-90","90+")))))</f>
        <v/>
      </c>
      <c r="O213" s="4" t="n">
        <f aca="false">IF($H213="Outstanding",$G213,0)</f>
        <v>0</v>
      </c>
      <c r="P213" s="5" t="n">
        <f aca="false">$O213*IF($M213="",0,$M213)</f>
        <v>0</v>
      </c>
    </row>
    <row r="214" customFormat="false" ht="15" hidden="false" customHeight="false" outlineLevel="0" collapsed="false">
      <c r="A214" s="2" t="s">
        <v>267</v>
      </c>
      <c r="B214" s="2" t="s">
        <v>63</v>
      </c>
      <c r="C214" s="2" t="s">
        <v>64</v>
      </c>
      <c r="D214" s="3" t="n">
        <v>46157</v>
      </c>
      <c r="E214" s="2" t="n">
        <v>15</v>
      </c>
      <c r="F214" s="3" t="n">
        <v>46172</v>
      </c>
      <c r="G214" s="4" t="n">
        <v>4500</v>
      </c>
      <c r="H214" s="2" t="s">
        <v>19</v>
      </c>
      <c r="I214" s="3" t="n">
        <v>46174</v>
      </c>
      <c r="J214" s="4" t="n">
        <v>4500</v>
      </c>
      <c r="K214" s="2" t="n">
        <v>17</v>
      </c>
      <c r="L214" s="2" t="n">
        <v>2</v>
      </c>
      <c r="M214" s="2" t="str">
        <f aca="false">IF($H214="Outstanding",MAX(0,Summary!$B$3-$F214),"")</f>
        <v/>
      </c>
      <c r="N214" s="2" t="str">
        <f aca="false">IF($M214="","",IF($M214=0,"Current",IF($M214&lt;=30,"1-30",IF($M214&lt;=60,"31-60",IF($M214&lt;=90,"61-90","90+")))))</f>
        <v/>
      </c>
      <c r="O214" s="4" t="n">
        <f aca="false">IF($H214="Outstanding",$G214,0)</f>
        <v>0</v>
      </c>
      <c r="P214" s="5" t="n">
        <f aca="false">$O214*IF($M214="",0,$M214)</f>
        <v>0</v>
      </c>
    </row>
    <row r="215" customFormat="false" ht="15" hidden="false" customHeight="false" outlineLevel="0" collapsed="false">
      <c r="A215" s="2" t="s">
        <v>268</v>
      </c>
      <c r="B215" s="2" t="s">
        <v>21</v>
      </c>
      <c r="C215" s="2" t="s">
        <v>22</v>
      </c>
      <c r="D215" s="3" t="n">
        <v>46160</v>
      </c>
      <c r="E215" s="2" t="n">
        <v>30</v>
      </c>
      <c r="F215" s="3" t="n">
        <v>46190</v>
      </c>
      <c r="G215" s="4" t="n">
        <v>18550</v>
      </c>
      <c r="H215" s="2" t="s">
        <v>221</v>
      </c>
      <c r="I215" s="3"/>
      <c r="J215" s="4" t="n">
        <v>0</v>
      </c>
      <c r="K215" s="2"/>
      <c r="L215" s="2"/>
      <c r="M215" s="2" t="n">
        <f aca="false">IF($H215="Outstanding",MAX(0,Summary!$B$3-$F215),"")</f>
        <v>35</v>
      </c>
      <c r="N215" s="2" t="str">
        <f aca="false">IF($M215="","",IF($M215=0,"Current",IF($M215&lt;=30,"1-30",IF($M215&lt;=60,"31-60",IF($M215&lt;=90,"61-90","90+")))))</f>
        <v>31-60</v>
      </c>
      <c r="O215" s="4" t="n">
        <f aca="false">IF($H215="Outstanding",$G215,0)</f>
        <v>18550</v>
      </c>
      <c r="P215" s="5" t="n">
        <f aca="false">$O215*IF($M215="",0,$M215)</f>
        <v>649250</v>
      </c>
    </row>
    <row r="216" customFormat="false" ht="15" hidden="false" customHeight="false" outlineLevel="0" collapsed="false">
      <c r="A216" s="2" t="s">
        <v>269</v>
      </c>
      <c r="B216" s="2" t="s">
        <v>88</v>
      </c>
      <c r="C216" s="2" t="s">
        <v>89</v>
      </c>
      <c r="D216" s="3" t="n">
        <v>46149</v>
      </c>
      <c r="E216" s="2" t="n">
        <v>30</v>
      </c>
      <c r="F216" s="3" t="n">
        <v>46179</v>
      </c>
      <c r="G216" s="4" t="n">
        <v>4250</v>
      </c>
      <c r="H216" s="2" t="s">
        <v>19</v>
      </c>
      <c r="I216" s="3" t="n">
        <v>46191</v>
      </c>
      <c r="J216" s="4" t="n">
        <v>4250</v>
      </c>
      <c r="K216" s="2" t="n">
        <v>42</v>
      </c>
      <c r="L216" s="2" t="n">
        <v>12</v>
      </c>
      <c r="M216" s="2" t="str">
        <f aca="false">IF($H216="Outstanding",MAX(0,Summary!$B$3-$F216),"")</f>
        <v/>
      </c>
      <c r="N216" s="2" t="str">
        <f aca="false">IF($M216="","",IF($M216=0,"Current",IF($M216&lt;=30,"1-30",IF($M216&lt;=60,"31-60",IF($M216&lt;=90,"61-90","90+")))))</f>
        <v/>
      </c>
      <c r="O216" s="4" t="n">
        <f aca="false">IF($H216="Outstanding",$G216,0)</f>
        <v>0</v>
      </c>
      <c r="P216" s="5" t="n">
        <f aca="false">$O216*IF($M216="",0,$M216)</f>
        <v>0</v>
      </c>
    </row>
    <row r="217" customFormat="false" ht="15" hidden="false" customHeight="false" outlineLevel="0" collapsed="false">
      <c r="A217" s="2" t="s">
        <v>270</v>
      </c>
      <c r="B217" s="2" t="s">
        <v>77</v>
      </c>
      <c r="C217" s="2" t="s">
        <v>78</v>
      </c>
      <c r="D217" s="3" t="n">
        <v>46157</v>
      </c>
      <c r="E217" s="2" t="n">
        <v>30</v>
      </c>
      <c r="F217" s="3" t="n">
        <v>46187</v>
      </c>
      <c r="G217" s="4" t="n">
        <v>31100</v>
      </c>
      <c r="H217" s="2" t="s">
        <v>19</v>
      </c>
      <c r="I217" s="3" t="n">
        <v>46195</v>
      </c>
      <c r="J217" s="4" t="n">
        <v>31100</v>
      </c>
      <c r="K217" s="2" t="n">
        <v>38</v>
      </c>
      <c r="L217" s="2" t="n">
        <v>6</v>
      </c>
      <c r="M217" s="2" t="str">
        <f aca="false">IF($H217="Outstanding",MAX(0,Summary!$B$3-$F217),"")</f>
        <v/>
      </c>
      <c r="N217" s="2" t="str">
        <f aca="false">IF($M217="","",IF($M217=0,"Current",IF($M217&lt;=30,"1-30",IF($M217&lt;=60,"31-60",IF($M217&lt;=90,"61-90","90+")))))</f>
        <v/>
      </c>
      <c r="O217" s="4" t="n">
        <f aca="false">IF($H217="Outstanding",$G217,0)</f>
        <v>0</v>
      </c>
      <c r="P217" s="5" t="n">
        <f aca="false">$O217*IF($M217="",0,$M217)</f>
        <v>0</v>
      </c>
    </row>
    <row r="218" customFormat="false" ht="15" hidden="false" customHeight="false" outlineLevel="0" collapsed="false">
      <c r="A218" s="2" t="s">
        <v>271</v>
      </c>
      <c r="B218" s="2" t="s">
        <v>55</v>
      </c>
      <c r="C218" s="2" t="s">
        <v>56</v>
      </c>
      <c r="D218" s="3" t="n">
        <v>46167</v>
      </c>
      <c r="E218" s="2" t="n">
        <v>30</v>
      </c>
      <c r="F218" s="3" t="n">
        <v>46197</v>
      </c>
      <c r="G218" s="4" t="n">
        <v>7200</v>
      </c>
      <c r="H218" s="2" t="s">
        <v>19</v>
      </c>
      <c r="I218" s="3" t="n">
        <v>46216</v>
      </c>
      <c r="J218" s="4" t="n">
        <v>7200</v>
      </c>
      <c r="K218" s="2" t="n">
        <v>49</v>
      </c>
      <c r="L218" s="2" t="n">
        <v>19</v>
      </c>
      <c r="M218" s="2" t="str">
        <f aca="false">IF($H218="Outstanding",MAX(0,Summary!$B$3-$F218),"")</f>
        <v/>
      </c>
      <c r="N218" s="2" t="str">
        <f aca="false">IF($M218="","",IF($M218=0,"Current",IF($M218&lt;=30,"1-30",IF($M218&lt;=60,"31-60",IF($M218&lt;=90,"61-90","90+")))))</f>
        <v/>
      </c>
      <c r="O218" s="4" t="n">
        <f aca="false">IF($H218="Outstanding",$G218,0)</f>
        <v>0</v>
      </c>
      <c r="P218" s="5" t="n">
        <f aca="false">$O218*IF($M218="",0,$M218)</f>
        <v>0</v>
      </c>
    </row>
    <row r="219" customFormat="false" ht="15" hidden="false" customHeight="false" outlineLevel="0" collapsed="false">
      <c r="A219" s="2" t="s">
        <v>272</v>
      </c>
      <c r="B219" s="2" t="s">
        <v>24</v>
      </c>
      <c r="C219" s="2" t="s">
        <v>25</v>
      </c>
      <c r="D219" s="3" t="n">
        <v>46149</v>
      </c>
      <c r="E219" s="2" t="n">
        <v>30</v>
      </c>
      <c r="F219" s="3" t="n">
        <v>46179</v>
      </c>
      <c r="G219" s="4" t="n">
        <v>6250</v>
      </c>
      <c r="H219" s="2" t="s">
        <v>19</v>
      </c>
      <c r="I219" s="3" t="n">
        <v>46220</v>
      </c>
      <c r="J219" s="4" t="n">
        <v>6250</v>
      </c>
      <c r="K219" s="2" t="n">
        <v>71</v>
      </c>
      <c r="L219" s="2" t="n">
        <v>41</v>
      </c>
      <c r="M219" s="2" t="str">
        <f aca="false">IF($H219="Outstanding",MAX(0,Summary!$B$3-$F219),"")</f>
        <v/>
      </c>
      <c r="N219" s="2" t="str">
        <f aca="false">IF($M219="","",IF($M219=0,"Current",IF($M219&lt;=30,"1-30",IF($M219&lt;=60,"31-60",IF($M219&lt;=90,"61-90","90+")))))</f>
        <v/>
      </c>
      <c r="O219" s="4" t="n">
        <f aca="false">IF($H219="Outstanding",$G219,0)</f>
        <v>0</v>
      </c>
      <c r="P219" s="5" t="n">
        <f aca="false">$O219*IF($M219="",0,$M219)</f>
        <v>0</v>
      </c>
    </row>
    <row r="220" customFormat="false" ht="15" hidden="false" customHeight="false" outlineLevel="0" collapsed="false">
      <c r="A220" s="2" t="s">
        <v>273</v>
      </c>
      <c r="B220" s="2" t="s">
        <v>33</v>
      </c>
      <c r="C220" s="2" t="s">
        <v>34</v>
      </c>
      <c r="D220" s="3" t="n">
        <v>46147</v>
      </c>
      <c r="E220" s="2" t="n">
        <v>15</v>
      </c>
      <c r="F220" s="3" t="n">
        <v>46162</v>
      </c>
      <c r="G220" s="4" t="n">
        <v>19850</v>
      </c>
      <c r="H220" s="2" t="s">
        <v>19</v>
      </c>
      <c r="I220" s="3" t="n">
        <v>46167</v>
      </c>
      <c r="J220" s="4" t="n">
        <v>19850</v>
      </c>
      <c r="K220" s="2" t="n">
        <v>20</v>
      </c>
      <c r="L220" s="2" t="n">
        <v>5</v>
      </c>
      <c r="M220" s="2" t="str">
        <f aca="false">IF($H220="Outstanding",MAX(0,Summary!$B$3-$F220),"")</f>
        <v/>
      </c>
      <c r="N220" s="2" t="str">
        <f aca="false">IF($M220="","",IF($M220=0,"Current",IF($M220&lt;=30,"1-30",IF($M220&lt;=60,"31-60",IF($M220&lt;=90,"61-90","90+")))))</f>
        <v/>
      </c>
      <c r="O220" s="4" t="n">
        <f aca="false">IF($H220="Outstanding",$G220,0)</f>
        <v>0</v>
      </c>
      <c r="P220" s="5" t="n">
        <f aca="false">$O220*IF($M220="",0,$M220)</f>
        <v>0</v>
      </c>
    </row>
    <row r="221" customFormat="false" ht="15" hidden="false" customHeight="false" outlineLevel="0" collapsed="false">
      <c r="A221" s="2" t="s">
        <v>274</v>
      </c>
      <c r="B221" s="2" t="s">
        <v>84</v>
      </c>
      <c r="C221" s="2" t="s">
        <v>85</v>
      </c>
      <c r="D221" s="3" t="n">
        <v>46154</v>
      </c>
      <c r="E221" s="2" t="n">
        <v>30</v>
      </c>
      <c r="F221" s="3" t="n">
        <v>46184</v>
      </c>
      <c r="G221" s="4" t="n">
        <v>9200</v>
      </c>
      <c r="H221" s="2" t="s">
        <v>19</v>
      </c>
      <c r="I221" s="3" t="n">
        <v>46209</v>
      </c>
      <c r="J221" s="4" t="n">
        <v>9200</v>
      </c>
      <c r="K221" s="2" t="n">
        <v>55</v>
      </c>
      <c r="L221" s="2" t="n">
        <v>23</v>
      </c>
      <c r="M221" s="2" t="str">
        <f aca="false">IF($H221="Outstanding",MAX(0,Summary!$B$3-$F221),"")</f>
        <v/>
      </c>
      <c r="N221" s="2" t="str">
        <f aca="false">IF($M221="","",IF($M221=0,"Current",IF($M221&lt;=30,"1-30",IF($M221&lt;=60,"31-60",IF($M221&lt;=90,"61-90","90+")))))</f>
        <v/>
      </c>
      <c r="O221" s="4" t="n">
        <f aca="false">IF($H221="Outstanding",$G221,0)</f>
        <v>0</v>
      </c>
      <c r="P221" s="5" t="n">
        <f aca="false">$O221*IF($M221="",0,$M221)</f>
        <v>0</v>
      </c>
    </row>
    <row r="222" customFormat="false" ht="15" hidden="false" customHeight="false" outlineLevel="0" collapsed="false">
      <c r="A222" s="2" t="s">
        <v>275</v>
      </c>
      <c r="B222" s="2" t="s">
        <v>43</v>
      </c>
      <c r="C222" s="2" t="s">
        <v>44</v>
      </c>
      <c r="D222" s="3" t="n">
        <v>46146</v>
      </c>
      <c r="E222" s="2" t="n">
        <v>30</v>
      </c>
      <c r="F222" s="3" t="n">
        <v>46176</v>
      </c>
      <c r="G222" s="4" t="n">
        <v>26800</v>
      </c>
      <c r="H222" s="2" t="s">
        <v>45</v>
      </c>
      <c r="I222" s="3" t="n">
        <v>46183</v>
      </c>
      <c r="J222" s="4" t="n">
        <v>26800</v>
      </c>
      <c r="K222" s="2" t="n">
        <v>37</v>
      </c>
      <c r="L222" s="2" t="n">
        <v>7</v>
      </c>
      <c r="M222" s="2" t="str">
        <f aca="false">IF($H222="Outstanding",MAX(0,Summary!$B$3-$F222),"")</f>
        <v/>
      </c>
      <c r="N222" s="2" t="str">
        <f aca="false">IF($M222="","",IF($M222=0,"Current",IF($M222&lt;=30,"1-30",IF($M222&lt;=60,"31-60",IF($M222&lt;=90,"61-90","90+")))))</f>
        <v/>
      </c>
      <c r="O222" s="4" t="n">
        <f aca="false">IF($H222="Outstanding",$G222,0)</f>
        <v>0</v>
      </c>
      <c r="P222" s="5" t="n">
        <f aca="false">$O222*IF($M222="",0,$M222)</f>
        <v>0</v>
      </c>
    </row>
    <row r="223" customFormat="false" ht="15" hidden="false" customHeight="false" outlineLevel="0" collapsed="false">
      <c r="A223" s="2" t="s">
        <v>276</v>
      </c>
      <c r="B223" s="2" t="s">
        <v>67</v>
      </c>
      <c r="C223" s="2" t="s">
        <v>68</v>
      </c>
      <c r="D223" s="3" t="n">
        <v>46148</v>
      </c>
      <c r="E223" s="2" t="n">
        <v>30</v>
      </c>
      <c r="F223" s="3" t="n">
        <v>46178</v>
      </c>
      <c r="G223" s="4" t="n">
        <v>6200</v>
      </c>
      <c r="H223" s="2" t="s">
        <v>19</v>
      </c>
      <c r="I223" s="3" t="n">
        <v>46185</v>
      </c>
      <c r="J223" s="4" t="n">
        <v>6200</v>
      </c>
      <c r="K223" s="2" t="n">
        <v>37</v>
      </c>
      <c r="L223" s="2" t="n">
        <v>7</v>
      </c>
      <c r="M223" s="2" t="str">
        <f aca="false">IF($H223="Outstanding",MAX(0,Summary!$B$3-$F223),"")</f>
        <v/>
      </c>
      <c r="N223" s="2" t="str">
        <f aca="false">IF($M223="","",IF($M223=0,"Current",IF($M223&lt;=30,"1-30",IF($M223&lt;=60,"31-60",IF($M223&lt;=90,"61-90","90+")))))</f>
        <v/>
      </c>
      <c r="O223" s="4" t="n">
        <f aca="false">IF($H223="Outstanding",$G223,0)</f>
        <v>0</v>
      </c>
      <c r="P223" s="5" t="n">
        <f aca="false">$O223*IF($M223="",0,$M223)</f>
        <v>0</v>
      </c>
    </row>
    <row r="224" customFormat="false" ht="15" hidden="false" customHeight="false" outlineLevel="0" collapsed="false">
      <c r="A224" s="2" t="s">
        <v>277</v>
      </c>
      <c r="B224" s="2" t="s">
        <v>88</v>
      </c>
      <c r="C224" s="2" t="s">
        <v>89</v>
      </c>
      <c r="D224" s="3" t="n">
        <v>46160</v>
      </c>
      <c r="E224" s="2" t="n">
        <v>30</v>
      </c>
      <c r="F224" s="3" t="n">
        <v>46190</v>
      </c>
      <c r="G224" s="4" t="n">
        <v>2600</v>
      </c>
      <c r="H224" s="2" t="s">
        <v>19</v>
      </c>
      <c r="I224" s="3" t="n">
        <v>46188</v>
      </c>
      <c r="J224" s="4" t="n">
        <v>2600</v>
      </c>
      <c r="K224" s="2" t="n">
        <v>28</v>
      </c>
      <c r="L224" s="2" t="n">
        <v>-2</v>
      </c>
      <c r="M224" s="2" t="str">
        <f aca="false">IF($H224="Outstanding",MAX(0,Summary!$B$3-$F224),"")</f>
        <v/>
      </c>
      <c r="N224" s="2" t="str">
        <f aca="false">IF($M224="","",IF($M224=0,"Current",IF($M224&lt;=30,"1-30",IF($M224&lt;=60,"31-60",IF($M224&lt;=90,"61-90","90+")))))</f>
        <v/>
      </c>
      <c r="O224" s="4" t="n">
        <f aca="false">IF($H224="Outstanding",$G224,0)</f>
        <v>0</v>
      </c>
      <c r="P224" s="5" t="n">
        <f aca="false">$O224*IF($M224="",0,$M224)</f>
        <v>0</v>
      </c>
    </row>
    <row r="225" customFormat="false" ht="15" hidden="false" customHeight="false" outlineLevel="0" collapsed="false">
      <c r="A225" s="2" t="s">
        <v>278</v>
      </c>
      <c r="B225" s="2" t="s">
        <v>43</v>
      </c>
      <c r="C225" s="2" t="s">
        <v>44</v>
      </c>
      <c r="D225" s="3" t="n">
        <v>46181</v>
      </c>
      <c r="E225" s="2" t="n">
        <v>30</v>
      </c>
      <c r="F225" s="3" t="n">
        <v>46211</v>
      </c>
      <c r="G225" s="4" t="n">
        <v>29400</v>
      </c>
      <c r="H225" s="2" t="s">
        <v>221</v>
      </c>
      <c r="I225" s="3"/>
      <c r="J225" s="4" t="n">
        <v>0</v>
      </c>
      <c r="K225" s="2"/>
      <c r="L225" s="2"/>
      <c r="M225" s="2" t="n">
        <f aca="false">IF($H225="Outstanding",MAX(0,Summary!$B$3-$F225),"")</f>
        <v>14</v>
      </c>
      <c r="N225" s="2" t="str">
        <f aca="false">IF($M225="","",IF($M225=0,"Current",IF($M225&lt;=30,"1-30",IF($M225&lt;=60,"31-60",IF($M225&lt;=90,"61-90","90+")))))</f>
        <v>1-30</v>
      </c>
      <c r="O225" s="4" t="n">
        <f aca="false">IF($H225="Outstanding",$G225,0)</f>
        <v>29400</v>
      </c>
      <c r="P225" s="5" t="n">
        <f aca="false">$O225*IF($M225="",0,$M225)</f>
        <v>411600</v>
      </c>
    </row>
    <row r="226" customFormat="false" ht="15" hidden="false" customHeight="false" outlineLevel="0" collapsed="false">
      <c r="A226" s="2" t="s">
        <v>279</v>
      </c>
      <c r="B226" s="2" t="s">
        <v>52</v>
      </c>
      <c r="C226" s="2" t="s">
        <v>53</v>
      </c>
      <c r="D226" s="3" t="n">
        <v>46174</v>
      </c>
      <c r="E226" s="2" t="n">
        <v>30</v>
      </c>
      <c r="F226" s="3" t="n">
        <v>46204</v>
      </c>
      <c r="G226" s="4" t="n">
        <v>6450</v>
      </c>
      <c r="H226" s="2" t="s">
        <v>19</v>
      </c>
      <c r="I226" s="3" t="n">
        <v>46223</v>
      </c>
      <c r="J226" s="4" t="n">
        <v>6450</v>
      </c>
      <c r="K226" s="2" t="n">
        <v>49</v>
      </c>
      <c r="L226" s="2" t="n">
        <v>19</v>
      </c>
      <c r="M226" s="2" t="str">
        <f aca="false">IF($H226="Outstanding",MAX(0,Summary!$B$3-$F226),"")</f>
        <v/>
      </c>
      <c r="N226" s="2" t="str">
        <f aca="false">IF($M226="","",IF($M226=0,"Current",IF($M226&lt;=30,"1-30",IF($M226&lt;=60,"31-60",IF($M226&lt;=90,"61-90","90+")))))</f>
        <v/>
      </c>
      <c r="O226" s="4" t="n">
        <f aca="false">IF($H226="Outstanding",$G226,0)</f>
        <v>0</v>
      </c>
      <c r="P226" s="5" t="n">
        <f aca="false">$O226*IF($M226="",0,$M226)</f>
        <v>0</v>
      </c>
    </row>
    <row r="227" customFormat="false" ht="15" hidden="false" customHeight="false" outlineLevel="0" collapsed="false">
      <c r="A227" s="2" t="s">
        <v>280</v>
      </c>
      <c r="B227" s="2" t="s">
        <v>40</v>
      </c>
      <c r="C227" s="2" t="s">
        <v>41</v>
      </c>
      <c r="D227" s="3" t="n">
        <v>46188</v>
      </c>
      <c r="E227" s="2" t="n">
        <v>30</v>
      </c>
      <c r="F227" s="3" t="n">
        <v>46218</v>
      </c>
      <c r="G227" s="4" t="n">
        <v>23900</v>
      </c>
      <c r="H227" s="2" t="s">
        <v>221</v>
      </c>
      <c r="I227" s="3"/>
      <c r="J227" s="4" t="n">
        <v>0</v>
      </c>
      <c r="K227" s="2"/>
      <c r="L227" s="2"/>
      <c r="M227" s="2" t="n">
        <f aca="false">IF($H227="Outstanding",MAX(0,Summary!$B$3-$F227),"")</f>
        <v>7</v>
      </c>
      <c r="N227" s="2" t="str">
        <f aca="false">IF($M227="","",IF($M227=0,"Current",IF($M227&lt;=30,"1-30",IF($M227&lt;=60,"31-60",IF($M227&lt;=90,"61-90","90+")))))</f>
        <v>1-30</v>
      </c>
      <c r="O227" s="4" t="n">
        <f aca="false">IF($H227="Outstanding",$G227,0)</f>
        <v>23900</v>
      </c>
      <c r="P227" s="5" t="n">
        <f aca="false">$O227*IF($M227="",0,$M227)</f>
        <v>167300</v>
      </c>
    </row>
    <row r="228" customFormat="false" ht="15" hidden="false" customHeight="false" outlineLevel="0" collapsed="false">
      <c r="A228" s="2" t="s">
        <v>281</v>
      </c>
      <c r="B228" s="2" t="s">
        <v>24</v>
      </c>
      <c r="C228" s="2" t="s">
        <v>25</v>
      </c>
      <c r="D228" s="3" t="n">
        <v>46185</v>
      </c>
      <c r="E228" s="2" t="n">
        <v>30</v>
      </c>
      <c r="F228" s="3" t="n">
        <v>46215</v>
      </c>
      <c r="G228" s="4" t="n">
        <v>2600</v>
      </c>
      <c r="H228" s="2" t="s">
        <v>221</v>
      </c>
      <c r="I228" s="3"/>
      <c r="J228" s="4" t="n">
        <v>0</v>
      </c>
      <c r="K228" s="2"/>
      <c r="L228" s="2"/>
      <c r="M228" s="2" t="n">
        <f aca="false">IF($H228="Outstanding",MAX(0,Summary!$B$3-$F228),"")</f>
        <v>10</v>
      </c>
      <c r="N228" s="2" t="str">
        <f aca="false">IF($M228="","",IF($M228=0,"Current",IF($M228&lt;=30,"1-30",IF($M228&lt;=60,"31-60",IF($M228&lt;=90,"61-90","90+")))))</f>
        <v>1-30</v>
      </c>
      <c r="O228" s="4" t="n">
        <f aca="false">IF($H228="Outstanding",$G228,0)</f>
        <v>2600</v>
      </c>
      <c r="P228" s="5" t="n">
        <f aca="false">$O228*IF($M228="",0,$M228)</f>
        <v>26000</v>
      </c>
    </row>
    <row r="229" customFormat="false" ht="15" hidden="false" customHeight="false" outlineLevel="0" collapsed="false">
      <c r="A229" s="2" t="s">
        <v>282</v>
      </c>
      <c r="B229" s="2" t="s">
        <v>60</v>
      </c>
      <c r="C229" s="2" t="s">
        <v>61</v>
      </c>
      <c r="D229" s="3" t="n">
        <v>46196</v>
      </c>
      <c r="E229" s="2" t="n">
        <v>15</v>
      </c>
      <c r="F229" s="3" t="n">
        <v>46211</v>
      </c>
      <c r="G229" s="4" t="n">
        <v>4400</v>
      </c>
      <c r="H229" s="2" t="s">
        <v>19</v>
      </c>
      <c r="I229" s="3" t="n">
        <v>46212</v>
      </c>
      <c r="J229" s="4" t="n">
        <v>4400</v>
      </c>
      <c r="K229" s="2" t="n">
        <v>16</v>
      </c>
      <c r="L229" s="2" t="n">
        <v>1</v>
      </c>
      <c r="M229" s="2" t="str">
        <f aca="false">IF($H229="Outstanding",MAX(0,Summary!$B$3-$F229),"")</f>
        <v/>
      </c>
      <c r="N229" s="2" t="str">
        <f aca="false">IF($M229="","",IF($M229=0,"Current",IF($M229&lt;=30,"1-30",IF($M229&lt;=60,"31-60",IF($M229&lt;=90,"61-90","90+")))))</f>
        <v/>
      </c>
      <c r="O229" s="4" t="n">
        <f aca="false">IF($H229="Outstanding",$G229,0)</f>
        <v>0</v>
      </c>
      <c r="P229" s="5" t="n">
        <f aca="false">$O229*IF($M229="",0,$M229)</f>
        <v>0</v>
      </c>
    </row>
    <row r="230" customFormat="false" ht="15" hidden="false" customHeight="false" outlineLevel="0" collapsed="false">
      <c r="A230" s="2" t="s">
        <v>283</v>
      </c>
      <c r="B230" s="2" t="s">
        <v>84</v>
      </c>
      <c r="C230" s="2" t="s">
        <v>85</v>
      </c>
      <c r="D230" s="3" t="n">
        <v>46178</v>
      </c>
      <c r="E230" s="2" t="n">
        <v>30</v>
      </c>
      <c r="F230" s="3" t="n">
        <v>46208</v>
      </c>
      <c r="G230" s="4" t="n">
        <v>3800</v>
      </c>
      <c r="H230" s="2" t="s">
        <v>19</v>
      </c>
      <c r="I230" s="3" t="n">
        <v>46219</v>
      </c>
      <c r="J230" s="4" t="n">
        <v>3800</v>
      </c>
      <c r="K230" s="2" t="n">
        <v>41</v>
      </c>
      <c r="L230" s="2" t="n">
        <v>11</v>
      </c>
      <c r="M230" s="2" t="str">
        <f aca="false">IF($H230="Outstanding",MAX(0,Summary!$B$3-$F230),"")</f>
        <v/>
      </c>
      <c r="N230" s="2" t="str">
        <f aca="false">IF($M230="","",IF($M230=0,"Current",IF($M230&lt;=30,"1-30",IF($M230&lt;=60,"31-60",IF($M230&lt;=90,"61-90","90+")))))</f>
        <v/>
      </c>
      <c r="O230" s="4" t="n">
        <f aca="false">IF($H230="Outstanding",$G230,0)</f>
        <v>0</v>
      </c>
      <c r="P230" s="5" t="n">
        <f aca="false">$O230*IF($M230="",0,$M230)</f>
        <v>0</v>
      </c>
    </row>
    <row r="231" customFormat="false" ht="15" hidden="false" customHeight="false" outlineLevel="0" collapsed="false">
      <c r="A231" s="2" t="s">
        <v>284</v>
      </c>
      <c r="B231" s="2" t="s">
        <v>27</v>
      </c>
      <c r="C231" s="2" t="s">
        <v>28</v>
      </c>
      <c r="D231" s="3" t="n">
        <v>46196</v>
      </c>
      <c r="E231" s="2" t="n">
        <v>45</v>
      </c>
      <c r="F231" s="3" t="n">
        <v>46241</v>
      </c>
      <c r="G231" s="4" t="n">
        <v>31600</v>
      </c>
      <c r="H231" s="2" t="s">
        <v>221</v>
      </c>
      <c r="I231" s="3"/>
      <c r="J231" s="4" t="n">
        <v>0</v>
      </c>
      <c r="K231" s="2"/>
      <c r="L231" s="2"/>
      <c r="M231" s="2" t="n">
        <f aca="false">IF($H231="Outstanding",MAX(0,Summary!$B$3-$F231),"")</f>
        <v>0</v>
      </c>
      <c r="N231" s="2" t="str">
        <f aca="false">IF($M231="","",IF($M231=0,"Current",IF($M231&lt;=30,"1-30",IF($M231&lt;=60,"31-60",IF($M231&lt;=90,"61-90","90+")))))</f>
        <v>Current</v>
      </c>
      <c r="O231" s="4" t="n">
        <f aca="false">IF($H231="Outstanding",$G231,0)</f>
        <v>31600</v>
      </c>
      <c r="P231" s="5" t="n">
        <f aca="false">$O231*IF($M231="",0,$M231)</f>
        <v>0</v>
      </c>
    </row>
    <row r="232" customFormat="false" ht="15" hidden="false" customHeight="false" outlineLevel="0" collapsed="false">
      <c r="A232" s="2" t="s">
        <v>285</v>
      </c>
      <c r="B232" s="2" t="s">
        <v>88</v>
      </c>
      <c r="C232" s="2" t="s">
        <v>89</v>
      </c>
      <c r="D232" s="3" t="n">
        <v>46198</v>
      </c>
      <c r="E232" s="2" t="n">
        <v>30</v>
      </c>
      <c r="F232" s="3" t="n">
        <v>46228</v>
      </c>
      <c r="G232" s="4" t="n">
        <v>6800</v>
      </c>
      <c r="H232" s="2" t="s">
        <v>221</v>
      </c>
      <c r="I232" s="3"/>
      <c r="J232" s="4" t="n">
        <v>0</v>
      </c>
      <c r="K232" s="2"/>
      <c r="L232" s="2"/>
      <c r="M232" s="2" t="n">
        <f aca="false">IF($H232="Outstanding",MAX(0,Summary!$B$3-$F232),"")</f>
        <v>0</v>
      </c>
      <c r="N232" s="2" t="str">
        <f aca="false">IF($M232="","",IF($M232=0,"Current",IF($M232&lt;=30,"1-30",IF($M232&lt;=60,"31-60",IF($M232&lt;=90,"61-90","90+")))))</f>
        <v>Current</v>
      </c>
      <c r="O232" s="4" t="n">
        <f aca="false">IF($H232="Outstanding",$G232,0)</f>
        <v>6800</v>
      </c>
      <c r="P232" s="5" t="n">
        <f aca="false">$O232*IF($M232="",0,$M232)</f>
        <v>0</v>
      </c>
    </row>
    <row r="233" customFormat="false" ht="15" hidden="false" customHeight="false" outlineLevel="0" collapsed="false">
      <c r="A233" s="2" t="s">
        <v>286</v>
      </c>
      <c r="B233" s="2" t="s">
        <v>17</v>
      </c>
      <c r="C233" s="2" t="s">
        <v>18</v>
      </c>
      <c r="D233" s="3" t="n">
        <v>46176</v>
      </c>
      <c r="E233" s="2" t="n">
        <v>30</v>
      </c>
      <c r="F233" s="3" t="n">
        <v>46206</v>
      </c>
      <c r="G233" s="4" t="n">
        <v>3250</v>
      </c>
      <c r="H233" s="2" t="s">
        <v>221</v>
      </c>
      <c r="I233" s="3"/>
      <c r="J233" s="4" t="n">
        <v>0</v>
      </c>
      <c r="K233" s="2"/>
      <c r="L233" s="2"/>
      <c r="M233" s="2" t="n">
        <f aca="false">IF($H233="Outstanding",MAX(0,Summary!$B$3-$F233),"")</f>
        <v>19</v>
      </c>
      <c r="N233" s="2" t="str">
        <f aca="false">IF($M233="","",IF($M233=0,"Current",IF($M233&lt;=30,"1-30",IF($M233&lt;=60,"31-60",IF($M233&lt;=90,"61-90","90+")))))</f>
        <v>1-30</v>
      </c>
      <c r="O233" s="4" t="n">
        <f aca="false">IF($H233="Outstanding",$G233,0)</f>
        <v>3250</v>
      </c>
      <c r="P233" s="5" t="n">
        <f aca="false">$O233*IF($M233="",0,$M233)</f>
        <v>61750</v>
      </c>
    </row>
    <row r="234" customFormat="false" ht="15" hidden="false" customHeight="false" outlineLevel="0" collapsed="false">
      <c r="A234" s="2" t="s">
        <v>287</v>
      </c>
      <c r="B234" s="2" t="s">
        <v>77</v>
      </c>
      <c r="C234" s="2" t="s">
        <v>78</v>
      </c>
      <c r="D234" s="3" t="n">
        <v>46181</v>
      </c>
      <c r="E234" s="2" t="n">
        <v>30</v>
      </c>
      <c r="F234" s="3" t="n">
        <v>46211</v>
      </c>
      <c r="G234" s="4" t="n">
        <v>33050</v>
      </c>
      <c r="H234" s="2" t="s">
        <v>19</v>
      </c>
      <c r="I234" s="3" t="n">
        <v>46216</v>
      </c>
      <c r="J234" s="4" t="n">
        <v>33050</v>
      </c>
      <c r="K234" s="2" t="n">
        <v>35</v>
      </c>
      <c r="L234" s="2" t="n">
        <v>3</v>
      </c>
      <c r="M234" s="2" t="str">
        <f aca="false">IF($H234="Outstanding",MAX(0,Summary!$B$3-$F234),"")</f>
        <v/>
      </c>
      <c r="N234" s="2" t="str">
        <f aca="false">IF($M234="","",IF($M234=0,"Current",IF($M234&lt;=30,"1-30",IF($M234&lt;=60,"31-60",IF($M234&lt;=90,"61-90","90+")))))</f>
        <v/>
      </c>
      <c r="O234" s="4" t="n">
        <f aca="false">IF($H234="Outstanding",$G234,0)</f>
        <v>0</v>
      </c>
      <c r="P234" s="5" t="n">
        <f aca="false">$O234*IF($M234="",0,$M234)</f>
        <v>0</v>
      </c>
    </row>
    <row r="235" customFormat="false" ht="15" hidden="false" customHeight="false" outlineLevel="0" collapsed="false">
      <c r="A235" s="2" t="s">
        <v>288</v>
      </c>
      <c r="B235" s="2" t="s">
        <v>40</v>
      </c>
      <c r="C235" s="2" t="s">
        <v>41</v>
      </c>
      <c r="D235" s="3" t="n">
        <v>46190</v>
      </c>
      <c r="E235" s="2" t="n">
        <v>30</v>
      </c>
      <c r="F235" s="3" t="n">
        <v>46220</v>
      </c>
      <c r="G235" s="4" t="n">
        <v>13600</v>
      </c>
      <c r="H235" s="2" t="s">
        <v>221</v>
      </c>
      <c r="I235" s="3"/>
      <c r="J235" s="4" t="n">
        <v>0</v>
      </c>
      <c r="K235" s="2"/>
      <c r="L235" s="2"/>
      <c r="M235" s="2" t="n">
        <f aca="false">IF($H235="Outstanding",MAX(0,Summary!$B$3-$F235),"")</f>
        <v>5</v>
      </c>
      <c r="N235" s="2" t="str">
        <f aca="false">IF($M235="","",IF($M235=0,"Current",IF($M235&lt;=30,"1-30",IF($M235&lt;=60,"31-60",IF($M235&lt;=90,"61-90","90+")))))</f>
        <v>1-30</v>
      </c>
      <c r="O235" s="4" t="n">
        <f aca="false">IF($H235="Outstanding",$G235,0)</f>
        <v>13600</v>
      </c>
      <c r="P235" s="5" t="n">
        <f aca="false">$O235*IF($M235="",0,$M235)</f>
        <v>68000</v>
      </c>
    </row>
    <row r="236" customFormat="false" ht="15" hidden="false" customHeight="false" outlineLevel="0" collapsed="false">
      <c r="A236" s="2" t="s">
        <v>289</v>
      </c>
      <c r="B236" s="2" t="s">
        <v>37</v>
      </c>
      <c r="C236" s="2" t="s">
        <v>38</v>
      </c>
      <c r="D236" s="3" t="n">
        <v>46198</v>
      </c>
      <c r="E236" s="2" t="n">
        <v>30</v>
      </c>
      <c r="F236" s="3" t="n">
        <v>46228</v>
      </c>
      <c r="G236" s="4" t="n">
        <v>4000</v>
      </c>
      <c r="H236" s="2" t="s">
        <v>221</v>
      </c>
      <c r="I236" s="3"/>
      <c r="J236" s="4" t="n">
        <v>0</v>
      </c>
      <c r="K236" s="2"/>
      <c r="L236" s="2"/>
      <c r="M236" s="2" t="n">
        <f aca="false">IF($H236="Outstanding",MAX(0,Summary!$B$3-$F236),"")</f>
        <v>0</v>
      </c>
      <c r="N236" s="2" t="str">
        <f aca="false">IF($M236="","",IF($M236=0,"Current",IF($M236&lt;=30,"1-30",IF($M236&lt;=60,"31-60",IF($M236&lt;=90,"61-90","90+")))))</f>
        <v>Current</v>
      </c>
      <c r="O236" s="4" t="n">
        <f aca="false">IF($H236="Outstanding",$G236,0)</f>
        <v>4000</v>
      </c>
      <c r="P236" s="5" t="n">
        <f aca="false">$O236*IF($M236="",0,$M236)</f>
        <v>0</v>
      </c>
    </row>
    <row r="237" customFormat="false" ht="15" hidden="false" customHeight="false" outlineLevel="0" collapsed="false">
      <c r="A237" s="2" t="s">
        <v>290</v>
      </c>
      <c r="B237" s="2" t="s">
        <v>55</v>
      </c>
      <c r="C237" s="2" t="s">
        <v>56</v>
      </c>
      <c r="D237" s="3" t="n">
        <v>46188</v>
      </c>
      <c r="E237" s="2" t="n">
        <v>30</v>
      </c>
      <c r="F237" s="3" t="n">
        <v>46218</v>
      </c>
      <c r="G237" s="4" t="n">
        <v>10050</v>
      </c>
      <c r="H237" s="2" t="s">
        <v>221</v>
      </c>
      <c r="I237" s="3"/>
      <c r="J237" s="4" t="n">
        <v>0</v>
      </c>
      <c r="K237" s="2"/>
      <c r="L237" s="2"/>
      <c r="M237" s="2" t="n">
        <f aca="false">IF($H237="Outstanding",MAX(0,Summary!$B$3-$F237),"")</f>
        <v>7</v>
      </c>
      <c r="N237" s="2" t="str">
        <f aca="false">IF($M237="","",IF($M237=0,"Current",IF($M237&lt;=30,"1-30",IF($M237&lt;=60,"31-60",IF($M237&lt;=90,"61-90","90+")))))</f>
        <v>1-30</v>
      </c>
      <c r="O237" s="4" t="n">
        <f aca="false">IF($H237="Outstanding",$G237,0)</f>
        <v>10050</v>
      </c>
      <c r="P237" s="5" t="n">
        <f aca="false">$O237*IF($M237="",0,$M237)</f>
        <v>70350</v>
      </c>
    </row>
    <row r="238" customFormat="false" ht="15" hidden="false" customHeight="false" outlineLevel="0" collapsed="false">
      <c r="A238" s="2" t="s">
        <v>291</v>
      </c>
      <c r="B238" s="2" t="s">
        <v>52</v>
      </c>
      <c r="C238" s="2" t="s">
        <v>53</v>
      </c>
      <c r="D238" s="3" t="n">
        <v>46195</v>
      </c>
      <c r="E238" s="2" t="n">
        <v>30</v>
      </c>
      <c r="F238" s="3" t="n">
        <v>46225</v>
      </c>
      <c r="G238" s="4" t="n">
        <v>6850</v>
      </c>
      <c r="H238" s="2" t="s">
        <v>221</v>
      </c>
      <c r="I238" s="3"/>
      <c r="J238" s="4" t="n">
        <v>0</v>
      </c>
      <c r="K238" s="2"/>
      <c r="L238" s="2"/>
      <c r="M238" s="2" t="n">
        <f aca="false">IF($H238="Outstanding",MAX(0,Summary!$B$3-$F238),"")</f>
        <v>0</v>
      </c>
      <c r="N238" s="2" t="str">
        <f aca="false">IF($M238="","",IF($M238=0,"Current",IF($M238&lt;=30,"1-30",IF($M238&lt;=60,"31-60",IF($M238&lt;=90,"61-90","90+")))))</f>
        <v>Current</v>
      </c>
      <c r="O238" s="4" t="n">
        <f aca="false">IF($H238="Outstanding",$G238,0)</f>
        <v>6850</v>
      </c>
      <c r="P238" s="5" t="n">
        <f aca="false">$O238*IF($M238="",0,$M238)</f>
        <v>0</v>
      </c>
    </row>
    <row r="239" customFormat="false" ht="15" hidden="false" customHeight="false" outlineLevel="0" collapsed="false">
      <c r="A239" s="2" t="s">
        <v>292</v>
      </c>
      <c r="B239" s="2" t="s">
        <v>47</v>
      </c>
      <c r="C239" s="2" t="s">
        <v>48</v>
      </c>
      <c r="D239" s="3" t="n">
        <v>46223</v>
      </c>
      <c r="E239" s="2" t="n">
        <v>15</v>
      </c>
      <c r="F239" s="3" t="n">
        <v>46238</v>
      </c>
      <c r="G239" s="4" t="n">
        <v>2800</v>
      </c>
      <c r="H239" s="2" t="s">
        <v>221</v>
      </c>
      <c r="I239" s="3"/>
      <c r="J239" s="4" t="n">
        <v>0</v>
      </c>
      <c r="K239" s="2"/>
      <c r="L239" s="2"/>
      <c r="M239" s="2" t="n">
        <f aca="false">IF($H239="Outstanding",MAX(0,Summary!$B$3-$F239),"")</f>
        <v>0</v>
      </c>
      <c r="N239" s="2" t="str">
        <f aca="false">IF($M239="","",IF($M239=0,"Current",IF($M239&lt;=30,"1-30",IF($M239&lt;=60,"31-60",IF($M239&lt;=90,"61-90","90+")))))</f>
        <v>Current</v>
      </c>
      <c r="O239" s="4" t="n">
        <f aca="false">IF($H239="Outstanding",$G239,0)</f>
        <v>2800</v>
      </c>
      <c r="P239" s="5" t="n">
        <f aca="false">$O239*IF($M239="",0,$M239)</f>
        <v>0</v>
      </c>
    </row>
    <row r="240" customFormat="false" ht="15" hidden="false" customHeight="false" outlineLevel="0" collapsed="false">
      <c r="A240" s="2" t="s">
        <v>293</v>
      </c>
      <c r="B240" s="2" t="s">
        <v>77</v>
      </c>
      <c r="C240" s="2" t="s">
        <v>78</v>
      </c>
      <c r="D240" s="3" t="n">
        <v>46224</v>
      </c>
      <c r="E240" s="2" t="n">
        <v>30</v>
      </c>
      <c r="F240" s="3" t="n">
        <v>46254</v>
      </c>
      <c r="G240" s="4" t="n">
        <v>23450</v>
      </c>
      <c r="H240" s="2" t="s">
        <v>221</v>
      </c>
      <c r="I240" s="3"/>
      <c r="J240" s="4" t="n">
        <v>0</v>
      </c>
      <c r="K240" s="2"/>
      <c r="L240" s="2"/>
      <c r="M240" s="2" t="n">
        <f aca="false">IF($H240="Outstanding",MAX(0,Summary!$B$3-$F240),"")</f>
        <v>0</v>
      </c>
      <c r="N240" s="2" t="str">
        <f aca="false">IF($M240="","",IF($M240=0,"Current",IF($M240&lt;=30,"1-30",IF($M240&lt;=60,"31-60",IF($M240&lt;=90,"61-90","90+")))))</f>
        <v>Current</v>
      </c>
      <c r="O240" s="4" t="n">
        <f aca="false">IF($H240="Outstanding",$G240,0)</f>
        <v>23450</v>
      </c>
      <c r="P240" s="5" t="n">
        <f aca="false">$O240*IF($M240="",0,$M240)</f>
        <v>0</v>
      </c>
    </row>
    <row r="241" customFormat="false" ht="15" hidden="false" customHeight="false" outlineLevel="0" collapsed="false">
      <c r="A241" s="2" t="s">
        <v>294</v>
      </c>
      <c r="B241" s="2" t="s">
        <v>24</v>
      </c>
      <c r="C241" s="2" t="s">
        <v>25</v>
      </c>
      <c r="D241" s="3" t="n">
        <v>46217</v>
      </c>
      <c r="E241" s="2" t="n">
        <v>30</v>
      </c>
      <c r="F241" s="3" t="n">
        <v>46247</v>
      </c>
      <c r="G241" s="4" t="n">
        <v>1200</v>
      </c>
      <c r="H241" s="2" t="s">
        <v>221</v>
      </c>
      <c r="I241" s="3"/>
      <c r="J241" s="4" t="n">
        <v>0</v>
      </c>
      <c r="K241" s="2"/>
      <c r="L241" s="2"/>
      <c r="M241" s="2" t="n">
        <f aca="false">IF($H241="Outstanding",MAX(0,Summary!$B$3-$F241),"")</f>
        <v>0</v>
      </c>
      <c r="N241" s="2" t="str">
        <f aca="false">IF($M241="","",IF($M241=0,"Current",IF($M241&lt;=30,"1-30",IF($M241&lt;=60,"31-60",IF($M241&lt;=90,"61-90","90+")))))</f>
        <v>Current</v>
      </c>
      <c r="O241" s="4" t="n">
        <f aca="false">IF($H241="Outstanding",$G241,0)</f>
        <v>1200</v>
      </c>
      <c r="P241" s="5" t="n">
        <f aca="false">$O241*IF($M241="",0,$M241)</f>
        <v>0</v>
      </c>
    </row>
    <row r="242" customFormat="false" ht="15" hidden="false" customHeight="false" outlineLevel="0" collapsed="false">
      <c r="A242" s="2" t="s">
        <v>295</v>
      </c>
      <c r="B242" s="2" t="s">
        <v>17</v>
      </c>
      <c r="C242" s="2" t="s">
        <v>18</v>
      </c>
      <c r="D242" s="3" t="n">
        <v>46216</v>
      </c>
      <c r="E242" s="2" t="n">
        <v>30</v>
      </c>
      <c r="F242" s="3" t="n">
        <v>46246</v>
      </c>
      <c r="G242" s="4" t="n">
        <v>6150</v>
      </c>
      <c r="H242" s="2" t="s">
        <v>221</v>
      </c>
      <c r="I242" s="3"/>
      <c r="J242" s="4" t="n">
        <v>0</v>
      </c>
      <c r="K242" s="2"/>
      <c r="L242" s="2"/>
      <c r="M242" s="2" t="n">
        <f aca="false">IF($H242="Outstanding",MAX(0,Summary!$B$3-$F242),"")</f>
        <v>0</v>
      </c>
      <c r="N242" s="2" t="str">
        <f aca="false">IF($M242="","",IF($M242=0,"Current",IF($M242&lt;=30,"1-30",IF($M242&lt;=60,"31-60",IF($M242&lt;=90,"61-90","90+")))))</f>
        <v>Current</v>
      </c>
      <c r="O242" s="4" t="n">
        <f aca="false">IF($H242="Outstanding",$G242,0)</f>
        <v>6150</v>
      </c>
      <c r="P242" s="5" t="n">
        <f aca="false">$O242*IF($M242="",0,$M242)</f>
        <v>0</v>
      </c>
    </row>
    <row r="243" customFormat="false" ht="15" hidden="false" customHeight="false" outlineLevel="0" collapsed="false">
      <c r="A243" s="2" t="s">
        <v>296</v>
      </c>
      <c r="B243" s="2" t="s">
        <v>52</v>
      </c>
      <c r="C243" s="2" t="s">
        <v>53</v>
      </c>
      <c r="D243" s="3" t="n">
        <v>46206</v>
      </c>
      <c r="E243" s="2" t="n">
        <v>30</v>
      </c>
      <c r="F243" s="3" t="n">
        <v>46236</v>
      </c>
      <c r="G243" s="4" t="n">
        <v>7450</v>
      </c>
      <c r="H243" s="2" t="s">
        <v>221</v>
      </c>
      <c r="I243" s="3"/>
      <c r="J243" s="4" t="n">
        <v>0</v>
      </c>
      <c r="K243" s="2"/>
      <c r="L243" s="2"/>
      <c r="M243" s="2" t="n">
        <f aca="false">IF($H243="Outstanding",MAX(0,Summary!$B$3-$F243),"")</f>
        <v>0</v>
      </c>
      <c r="N243" s="2" t="str">
        <f aca="false">IF($M243="","",IF($M243=0,"Current",IF($M243&lt;=30,"1-30",IF($M243&lt;=60,"31-60",IF($M243&lt;=90,"61-90","90+")))))</f>
        <v>Current</v>
      </c>
      <c r="O243" s="4" t="n">
        <f aca="false">IF($H243="Outstanding",$G243,0)</f>
        <v>7450</v>
      </c>
      <c r="P243" s="5" t="n">
        <f aca="false">$O243*IF($M243="",0,$M243)</f>
        <v>0</v>
      </c>
    </row>
    <row r="244" customFormat="false" ht="15" hidden="false" customHeight="false" outlineLevel="0" collapsed="false">
      <c r="A244" s="2" t="s">
        <v>297</v>
      </c>
      <c r="B244" s="2" t="s">
        <v>84</v>
      </c>
      <c r="C244" s="2" t="s">
        <v>85</v>
      </c>
      <c r="D244" s="3" t="n">
        <v>46216</v>
      </c>
      <c r="E244" s="2" t="n">
        <v>30</v>
      </c>
      <c r="F244" s="3" t="n">
        <v>46246</v>
      </c>
      <c r="G244" s="4" t="n">
        <v>2900</v>
      </c>
      <c r="H244" s="2" t="s">
        <v>221</v>
      </c>
      <c r="I244" s="3"/>
      <c r="J244" s="4" t="n">
        <v>0</v>
      </c>
      <c r="K244" s="2"/>
      <c r="L244" s="2"/>
      <c r="M244" s="2" t="n">
        <f aca="false">IF($H244="Outstanding",MAX(0,Summary!$B$3-$F244),"")</f>
        <v>0</v>
      </c>
      <c r="N244" s="2" t="str">
        <f aca="false">IF($M244="","",IF($M244=0,"Current",IF($M244&lt;=30,"1-30",IF($M244&lt;=60,"31-60",IF($M244&lt;=90,"61-90","90+")))))</f>
        <v>Current</v>
      </c>
      <c r="O244" s="4" t="n">
        <f aca="false">IF($H244="Outstanding",$G244,0)</f>
        <v>2900</v>
      </c>
      <c r="P244" s="5" t="n">
        <f aca="false">$O244*IF($M244="",0,$M244)</f>
        <v>0</v>
      </c>
    </row>
    <row r="245" customFormat="false" ht="15" hidden="false" customHeight="false" outlineLevel="0" collapsed="false">
      <c r="A245" s="2" t="s">
        <v>298</v>
      </c>
      <c r="B245" s="2" t="s">
        <v>33</v>
      </c>
      <c r="C245" s="2" t="s">
        <v>34</v>
      </c>
      <c r="D245" s="3" t="n">
        <v>46220</v>
      </c>
      <c r="E245" s="2" t="n">
        <v>15</v>
      </c>
      <c r="F245" s="3" t="n">
        <v>46235</v>
      </c>
      <c r="G245" s="4" t="n">
        <v>14400</v>
      </c>
      <c r="H245" s="2" t="s">
        <v>221</v>
      </c>
      <c r="I245" s="3"/>
      <c r="J245" s="4" t="n">
        <v>0</v>
      </c>
      <c r="K245" s="2"/>
      <c r="L245" s="2"/>
      <c r="M245" s="2" t="n">
        <f aca="false">IF($H245="Outstanding",MAX(0,Summary!$B$3-$F245),"")</f>
        <v>0</v>
      </c>
      <c r="N245" s="2" t="str">
        <f aca="false">IF($M245="","",IF($M245=0,"Current",IF($M245&lt;=30,"1-30",IF($M245&lt;=60,"31-60",IF($M245&lt;=90,"61-90","90+")))))</f>
        <v>Current</v>
      </c>
      <c r="O245" s="4" t="n">
        <f aca="false">IF($H245="Outstanding",$G245,0)</f>
        <v>14400</v>
      </c>
      <c r="P245" s="5" t="n">
        <f aca="false">$O245*IF($M245="",0,$M245)</f>
        <v>0</v>
      </c>
    </row>
    <row r="246" customFormat="false" ht="15" hidden="false" customHeight="false" outlineLevel="0" collapsed="false">
      <c r="A246" s="2" t="s">
        <v>299</v>
      </c>
      <c r="B246" s="2" t="s">
        <v>24</v>
      </c>
      <c r="C246" s="2" t="s">
        <v>25</v>
      </c>
      <c r="D246" s="3" t="n">
        <v>46216</v>
      </c>
      <c r="E246" s="2" t="n">
        <v>30</v>
      </c>
      <c r="F246" s="3" t="n">
        <v>46246</v>
      </c>
      <c r="G246" s="4" t="n">
        <v>6700</v>
      </c>
      <c r="H246" s="2" t="s">
        <v>221</v>
      </c>
      <c r="I246" s="3"/>
      <c r="J246" s="4" t="n">
        <v>0</v>
      </c>
      <c r="K246" s="2"/>
      <c r="L246" s="2"/>
      <c r="M246" s="2" t="n">
        <f aca="false">IF($H246="Outstanding",MAX(0,Summary!$B$3-$F246),"")</f>
        <v>0</v>
      </c>
      <c r="N246" s="2" t="str">
        <f aca="false">IF($M246="","",IF($M246=0,"Current",IF($M246&lt;=30,"1-30",IF($M246&lt;=60,"31-60",IF($M246&lt;=90,"61-90","90+")))))</f>
        <v>Current</v>
      </c>
      <c r="O246" s="4" t="n">
        <f aca="false">IF($H246="Outstanding",$G246,0)</f>
        <v>6700</v>
      </c>
      <c r="P246" s="5" t="n">
        <f aca="false">$O246*IF($M246="",0,$M246)</f>
        <v>0</v>
      </c>
    </row>
    <row r="247" customFormat="false" ht="15" hidden="false" customHeight="false" outlineLevel="0" collapsed="false">
      <c r="A247" s="2" t="s">
        <v>300</v>
      </c>
      <c r="B247" s="2" t="s">
        <v>30</v>
      </c>
      <c r="C247" s="2" t="s">
        <v>31</v>
      </c>
      <c r="D247" s="3" t="n">
        <v>46216</v>
      </c>
      <c r="E247" s="2" t="n">
        <v>30</v>
      </c>
      <c r="F247" s="3" t="n">
        <v>46246</v>
      </c>
      <c r="G247" s="4" t="n">
        <v>9050</v>
      </c>
      <c r="H247" s="2" t="s">
        <v>221</v>
      </c>
      <c r="I247" s="3"/>
      <c r="J247" s="4" t="n">
        <v>0</v>
      </c>
      <c r="K247" s="2"/>
      <c r="L247" s="2"/>
      <c r="M247" s="2" t="n">
        <f aca="false">IF($H247="Outstanding",MAX(0,Summary!$B$3-$F247),"")</f>
        <v>0</v>
      </c>
      <c r="N247" s="2" t="str">
        <f aca="false">IF($M247="","",IF($M247=0,"Current",IF($M247&lt;=30,"1-30",IF($M247&lt;=60,"31-60",IF($M247&lt;=90,"61-90","90+")))))</f>
        <v>Current</v>
      </c>
      <c r="O247" s="4" t="n">
        <f aca="false">IF($H247="Outstanding",$G247,0)</f>
        <v>9050</v>
      </c>
      <c r="P247" s="5" t="n">
        <f aca="false">$O247*IF($M247="",0,$M247)</f>
        <v>0</v>
      </c>
    </row>
    <row r="248" customFormat="false" ht="15" hidden="false" customHeight="false" outlineLevel="0" collapsed="false">
      <c r="A248" s="2" t="s">
        <v>301</v>
      </c>
      <c r="B248" s="2" t="s">
        <v>60</v>
      </c>
      <c r="C248" s="2" t="s">
        <v>61</v>
      </c>
      <c r="D248" s="3" t="n">
        <v>46204</v>
      </c>
      <c r="E248" s="2" t="n">
        <v>15</v>
      </c>
      <c r="F248" s="3" t="n">
        <v>46219</v>
      </c>
      <c r="G248" s="4" t="n">
        <v>3100</v>
      </c>
      <c r="H248" s="2" t="s">
        <v>19</v>
      </c>
      <c r="I248" s="3" t="n">
        <v>46223</v>
      </c>
      <c r="J248" s="4" t="n">
        <v>3100</v>
      </c>
      <c r="K248" s="2" t="n">
        <v>19</v>
      </c>
      <c r="L248" s="2" t="n">
        <v>2</v>
      </c>
      <c r="M248" s="2" t="str">
        <f aca="false">IF($H248="Outstanding",MAX(0,Summary!$B$3-$F248),"")</f>
        <v/>
      </c>
      <c r="N248" s="2" t="str">
        <f aca="false">IF($M248="","",IF($M248=0,"Current",IF($M248&lt;=30,"1-30",IF($M248&lt;=60,"31-60",IF($M248&lt;=90,"61-90","90+")))))</f>
        <v/>
      </c>
      <c r="O248" s="4" t="n">
        <f aca="false">IF($H248="Outstanding",$G248,0)</f>
        <v>0</v>
      </c>
      <c r="P248" s="5" t="n">
        <f aca="false">$O248*IF($M248="",0,$M248)</f>
        <v>0</v>
      </c>
    </row>
    <row r="249" customFormat="false" ht="15" hidden="false" customHeight="false" outlineLevel="0" collapsed="false">
      <c r="A249" s="2" t="s">
        <v>302</v>
      </c>
      <c r="B249" s="2" t="s">
        <v>43</v>
      </c>
      <c r="C249" s="2" t="s">
        <v>44</v>
      </c>
      <c r="D249" s="3" t="n">
        <v>46225</v>
      </c>
      <c r="E249" s="2" t="n">
        <v>30</v>
      </c>
      <c r="F249" s="3" t="n">
        <v>46255</v>
      </c>
      <c r="G249" s="4" t="n">
        <v>24700</v>
      </c>
      <c r="H249" s="2" t="s">
        <v>221</v>
      </c>
      <c r="I249" s="3"/>
      <c r="J249" s="4" t="n">
        <v>0</v>
      </c>
      <c r="K249" s="2"/>
      <c r="L249" s="2"/>
      <c r="M249" s="2" t="n">
        <f aca="false">IF($H249="Outstanding",MAX(0,Summary!$B$3-$F249),"")</f>
        <v>0</v>
      </c>
      <c r="N249" s="2" t="str">
        <f aca="false">IF($M249="","",IF($M249=0,"Current",IF($M249&lt;=30,"1-30",IF($M249&lt;=60,"31-60",IF($M249&lt;=90,"61-90","90+")))))</f>
        <v>Current</v>
      </c>
      <c r="O249" s="4" t="n">
        <f aca="false">IF($H249="Outstanding",$G249,0)</f>
        <v>24700</v>
      </c>
      <c r="P249" s="5" t="n">
        <f aca="false">$O249*IF($M249="",0,$M249)</f>
        <v>0</v>
      </c>
    </row>
    <row r="250" customFormat="false" ht="15" hidden="false" customHeight="false" outlineLevel="0" collapsed="false">
      <c r="A250" s="2" t="s">
        <v>303</v>
      </c>
      <c r="B250" s="2" t="s">
        <v>17</v>
      </c>
      <c r="C250" s="2" t="s">
        <v>18</v>
      </c>
      <c r="D250" s="3" t="n">
        <v>46227</v>
      </c>
      <c r="E250" s="2" t="n">
        <v>30</v>
      </c>
      <c r="F250" s="3" t="n">
        <v>46257</v>
      </c>
      <c r="G250" s="4" t="n">
        <v>12850</v>
      </c>
      <c r="H250" s="2" t="s">
        <v>221</v>
      </c>
      <c r="I250" s="3"/>
      <c r="J250" s="4" t="n">
        <v>0</v>
      </c>
      <c r="K250" s="2"/>
      <c r="L250" s="2"/>
      <c r="M250" s="2" t="n">
        <f aca="false">IF($H250="Outstanding",MAX(0,Summary!$B$3-$F250),"")</f>
        <v>0</v>
      </c>
      <c r="N250" s="2" t="str">
        <f aca="false">IF($M250="","",IF($M250=0,"Current",IF($M250&lt;=30,"1-30",IF($M250&lt;=60,"31-60",IF($M250&lt;=90,"61-90","90+")))))</f>
        <v>Current</v>
      </c>
      <c r="O250" s="4" t="n">
        <f aca="false">IF($H250="Outstanding",$G250,0)</f>
        <v>12850</v>
      </c>
      <c r="P250" s="5" t="n">
        <f aca="false">$O250*IF($M250="",0,$M250)</f>
        <v>0</v>
      </c>
    </row>
    <row r="251" customFormat="false" ht="15" hidden="false" customHeight="false" outlineLevel="0" collapsed="false">
      <c r="A251" s="2" t="s">
        <v>304</v>
      </c>
      <c r="B251" s="2" t="s">
        <v>55</v>
      </c>
      <c r="C251" s="2" t="s">
        <v>56</v>
      </c>
      <c r="D251" s="3" t="n">
        <v>46216</v>
      </c>
      <c r="E251" s="2" t="n">
        <v>30</v>
      </c>
      <c r="F251" s="3" t="n">
        <v>46246</v>
      </c>
      <c r="G251" s="4" t="n">
        <v>11950</v>
      </c>
      <c r="H251" s="2" t="s">
        <v>221</v>
      </c>
      <c r="I251" s="3"/>
      <c r="J251" s="4" t="n">
        <v>0</v>
      </c>
      <c r="K251" s="2"/>
      <c r="L251" s="2"/>
      <c r="M251" s="2" t="n">
        <f aca="false">IF($H251="Outstanding",MAX(0,Summary!$B$3-$F251),"")</f>
        <v>0</v>
      </c>
      <c r="N251" s="2" t="str">
        <f aca="false">IF($M251="","",IF($M251=0,"Current",IF($M251&lt;=30,"1-30",IF($M251&lt;=60,"31-60",IF($M251&lt;=90,"61-90","90+")))))</f>
        <v>Current</v>
      </c>
      <c r="O251" s="4" t="n">
        <f aca="false">IF($H251="Outstanding",$G251,0)</f>
        <v>11950</v>
      </c>
      <c r="P251" s="5" t="n">
        <f aca="false">$O251*IF($M251="",0,$M251)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5"/>
    <col collapsed="false" customWidth="true" hidden="false" outlineLevel="0" max="3" min="3" style="0" width="52"/>
  </cols>
  <sheetData>
    <row r="1" customFormat="false" ht="18.55" hidden="false" customHeight="false" outlineLevel="0" collapsed="false">
      <c r="A1" s="6" t="s">
        <v>305</v>
      </c>
    </row>
    <row r="2" customFormat="false" ht="15" hidden="false" customHeight="false" outlineLevel="0" collapsed="false">
      <c r="A2" s="7" t="s">
        <v>306</v>
      </c>
    </row>
    <row r="3" customFormat="false" ht="15" hidden="false" customHeight="false" outlineLevel="0" collapsed="false">
      <c r="A3" s="0" t="s">
        <v>307</v>
      </c>
      <c r="B3" s="8" t="n">
        <v>46225</v>
      </c>
      <c r="C3" s="9" t="s">
        <v>308</v>
      </c>
    </row>
    <row r="5" customFormat="false" ht="15" hidden="false" customHeight="false" outlineLevel="0" collapsed="false">
      <c r="A5" s="10" t="s">
        <v>309</v>
      </c>
    </row>
    <row r="6" customFormat="false" ht="15" hidden="false" customHeight="false" outlineLevel="0" collapsed="false">
      <c r="A6" s="11" t="s">
        <v>310</v>
      </c>
      <c r="B6" s="12" t="n">
        <f aca="false">COUNTA(Data!$A$2:$A$251)</f>
        <v>250</v>
      </c>
    </row>
    <row r="7" customFormat="false" ht="15" hidden="false" customHeight="false" outlineLevel="0" collapsed="false">
      <c r="A7" s="11" t="s">
        <v>311</v>
      </c>
      <c r="B7" s="12" t="n">
        <f aca="false">SUMPRODUCT(--(LEFT(Data!$H$2:$H$251,4)="Paid"))</f>
        <v>219</v>
      </c>
    </row>
    <row r="8" customFormat="false" ht="15" hidden="false" customHeight="false" outlineLevel="0" collapsed="false">
      <c r="A8" s="11" t="s">
        <v>312</v>
      </c>
      <c r="B8" s="12" t="n">
        <f aca="false">COUNTIF(Data!$H$2:$H$251,"Outstanding")</f>
        <v>31</v>
      </c>
    </row>
    <row r="9" customFormat="false" ht="15" hidden="false" customHeight="false" outlineLevel="0" collapsed="false">
      <c r="A9" s="11" t="s">
        <v>313</v>
      </c>
      <c r="B9" s="13" t="n">
        <f aca="false">SUM(Data!$G$2:$G$251)</f>
        <v>2575650</v>
      </c>
    </row>
    <row r="10" customFormat="false" ht="15" hidden="false" customHeight="false" outlineLevel="0" collapsed="false">
      <c r="A10" s="11" t="s">
        <v>314</v>
      </c>
      <c r="B10" s="13" t="n">
        <f aca="false">B9/19</f>
        <v>135560.526315789</v>
      </c>
    </row>
    <row r="11" customFormat="false" ht="15" hidden="false" customHeight="false" outlineLevel="0" collapsed="false">
      <c r="A11" s="11" t="s">
        <v>315</v>
      </c>
      <c r="B11" s="13" t="n">
        <f aca="false">SUM(Data!$O$2:$O$251)</f>
        <v>407550</v>
      </c>
    </row>
    <row r="12" customFormat="false" ht="15" hidden="false" customHeight="false" outlineLevel="0" collapsed="false">
      <c r="A12" s="11" t="s">
        <v>316</v>
      </c>
      <c r="B12" s="14" t="n">
        <f aca="false">SUMPRODUCT((LEFT(Data!$H$2:$H$251,4)="Paid")*Data!$K$2:$K$251*Data!$G$2:$G$251)/SUMPRODUCT((LEFT(Data!$H$2:$H$251,4)="Paid")*Data!$G$2:$G$251)</f>
        <v>49.6094276094276</v>
      </c>
    </row>
    <row r="13" customFormat="false" ht="15" hidden="false" customHeight="false" outlineLevel="0" collapsed="false">
      <c r="A13" s="11" t="s">
        <v>317</v>
      </c>
      <c r="B13" s="14" t="n">
        <f aca="false">SUMPRODUCT(Data!$E$2:$E$251*Data!$G$2:$G$251)/SUM(Data!$G$2:$G$251)</f>
        <v>30.3744685807466</v>
      </c>
    </row>
    <row r="14" customFormat="false" ht="15" hidden="false" customHeight="false" outlineLevel="0" collapsed="false">
      <c r="A14" s="11" t="s">
        <v>318</v>
      </c>
      <c r="B14" s="14" t="n">
        <f aca="false">B12-B13</f>
        <v>19.234959028681</v>
      </c>
    </row>
    <row r="15" customFormat="false" ht="15" hidden="false" customHeight="false" outlineLevel="0" collapsed="false">
      <c r="A15" s="11" t="s">
        <v>319</v>
      </c>
      <c r="B15" s="13" t="n">
        <f aca="false">B10*(B14/30)</f>
        <v>86916.7056530215</v>
      </c>
    </row>
    <row r="16" customFormat="false" ht="15" hidden="false" customHeight="false" outlineLevel="0" collapsed="false">
      <c r="A16" s="10" t="s">
        <v>320</v>
      </c>
    </row>
    <row r="17" customFormat="false" ht="15" hidden="false" customHeight="false" outlineLevel="0" collapsed="false">
      <c r="A17" s="15" t="str">
        <f aca="false">"You collect at "&amp;TEXT(B12,"0.0")&amp;" days against "&amp;TEXT(B13,"0")&amp;"-day terms. That gap parks roughly "&amp;TEXT(B15,"$#,##0")&amp;" of your cash with customers, permanently."</f>
        <v>You collect at 49.6 days against 30-day terms. That gap parks roughly $86,917 of your cash with customers, permanently.</v>
      </c>
    </row>
    <row r="19" customFormat="false" ht="15" hidden="false" customHeight="false" outlineLevel="0" collapsed="false">
      <c r="A19" s="10" t="s">
        <v>321</v>
      </c>
    </row>
    <row r="20" customFormat="false" ht="15" hidden="false" customHeight="false" outlineLevel="0" collapsed="false">
      <c r="A20" s="11" t="s">
        <v>322</v>
      </c>
      <c r="B20" s="13" t="n">
        <f aca="false">SUMIF(Data!$N$2:$N$251,"Current",Data!$O$2:$O$251)</f>
        <v>172850</v>
      </c>
      <c r="C20" s="16" t="n">
        <f aca="false">IFERROR(B20/$B$11,0)</f>
        <v>0.424119739909214</v>
      </c>
    </row>
    <row r="21" customFormat="false" ht="15" hidden="false" customHeight="false" outlineLevel="0" collapsed="false">
      <c r="A21" s="11" t="s">
        <v>323</v>
      </c>
      <c r="B21" s="13" t="n">
        <f aca="false">SUMIF(Data!$N$2:$N$251,"1-30",Data!$O$2:$O$251)</f>
        <v>109050</v>
      </c>
      <c r="C21" s="16" t="n">
        <f aca="false">IFERROR(B21/$B$11,0)</f>
        <v>0.267574530732426</v>
      </c>
    </row>
    <row r="22" customFormat="false" ht="15" hidden="false" customHeight="false" outlineLevel="0" collapsed="false">
      <c r="A22" s="11" t="s">
        <v>324</v>
      </c>
      <c r="B22" s="13" t="n">
        <f aca="false">SUMIF(Data!$N$2:$N$251,"31-60",Data!$O$2:$O$251)</f>
        <v>37500</v>
      </c>
      <c r="C22" s="16" t="n">
        <f aca="false">IFERROR(B22/$B$11,0)</f>
        <v>0.0920132499079868</v>
      </c>
    </row>
    <row r="23" customFormat="false" ht="15" hidden="false" customHeight="false" outlineLevel="0" collapsed="false">
      <c r="A23" s="11" t="s">
        <v>325</v>
      </c>
      <c r="B23" s="13" t="n">
        <f aca="false">SUMIF(Data!$N$2:$N$251,"61-90",Data!$O$2:$O$251)</f>
        <v>22050</v>
      </c>
      <c r="C23" s="16" t="n">
        <f aca="false">IFERROR(B23/$B$11,0)</f>
        <v>0.0541037909458962</v>
      </c>
    </row>
    <row r="24" customFormat="false" ht="15" hidden="false" customHeight="false" outlineLevel="0" collapsed="false">
      <c r="A24" s="11" t="s">
        <v>326</v>
      </c>
      <c r="B24" s="13" t="n">
        <f aca="false">SUMIF(Data!$N$2:$N$251,"90+",Data!$O$2:$O$251)</f>
        <v>66100</v>
      </c>
      <c r="C24" s="16" t="n">
        <f aca="false">IFERROR(B24/$B$11,0)</f>
        <v>0.162188688504478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7" min="3" style="0" width="12"/>
    <col collapsed="false" customWidth="true" hidden="false" outlineLevel="0" max="8" min="8" style="0" width="13"/>
    <col collapsed="false" customWidth="true" hidden="false" outlineLevel="0" max="9" min="9" style="0" width="16"/>
  </cols>
  <sheetData>
    <row r="1" customFormat="false" ht="15" hidden="false" customHeight="false" outlineLevel="0" collapsed="false">
      <c r="A1" s="17" t="s">
        <v>1</v>
      </c>
      <c r="B1" s="17" t="s">
        <v>327</v>
      </c>
      <c r="C1" s="17" t="s">
        <v>322</v>
      </c>
      <c r="D1" s="17" t="s">
        <v>323</v>
      </c>
      <c r="E1" s="17" t="s">
        <v>324</v>
      </c>
      <c r="F1" s="17" t="s">
        <v>325</v>
      </c>
      <c r="G1" s="17" t="s">
        <v>326</v>
      </c>
      <c r="H1" s="17" t="s">
        <v>328</v>
      </c>
      <c r="I1" s="17" t="s">
        <v>329</v>
      </c>
    </row>
    <row r="2" customFormat="false" ht="15" hidden="false" customHeight="false" outlineLevel="0" collapsed="false">
      <c r="A2" s="18" t="s">
        <v>40</v>
      </c>
      <c r="B2" s="18" t="n">
        <f aca="false">COUNTIFS(Data!$B$2:$B$251,$A2,Data!$H$2:$H$251,"Outstanding")</f>
        <v>6</v>
      </c>
      <c r="C2" s="19" t="n">
        <f aca="false">SUMIFS(Data!$O$2:$O$251,Data!$B$2:$B$251,$A2,Data!$N$2:$N$251,"Current")</f>
        <v>0</v>
      </c>
      <c r="D2" s="19" t="n">
        <f aca="false">SUMIFS(Data!$O$2:$O$251,Data!$B$2:$B$251,$A2,Data!$N$2:$N$251,"1-30")</f>
        <v>37500</v>
      </c>
      <c r="E2" s="19" t="n">
        <f aca="false">SUMIFS(Data!$O$2:$O$251,Data!$B$2:$B$251,$A2,Data!$N$2:$N$251,"31-60")</f>
        <v>18950</v>
      </c>
      <c r="F2" s="19" t="n">
        <f aca="false">SUMIFS(Data!$O$2:$O$251,Data!$B$2:$B$251,$A2,Data!$N$2:$N$251,"61-90")</f>
        <v>0</v>
      </c>
      <c r="G2" s="19" t="n">
        <f aca="false">SUMIFS(Data!$O$2:$O$251,Data!$B$2:$B$251,$A2,Data!$N$2:$N$251,"90+")</f>
        <v>58750</v>
      </c>
      <c r="H2" s="19" t="n">
        <f aca="false">SUMIFS(Data!$O$2:$O$251,Data!$B$2:$B$251,$A2)</f>
        <v>115200</v>
      </c>
      <c r="I2" s="20" t="n">
        <f aca="false">IFERROR(SUMIFS(Data!$P$2:$P$251,Data!$B$2:$B$251,$A2)/H2,0)</f>
        <v>61.8776041666667</v>
      </c>
    </row>
    <row r="3" customFormat="false" ht="15" hidden="false" customHeight="false" outlineLevel="0" collapsed="false">
      <c r="A3" s="18" t="s">
        <v>27</v>
      </c>
      <c r="B3" s="18" t="n">
        <f aca="false">COUNTIFS(Data!$B$2:$B$251,$A3,Data!$H$2:$H$251,"Outstanding")</f>
        <v>3</v>
      </c>
      <c r="C3" s="19" t="n">
        <f aca="false">SUMIFS(Data!$O$2:$O$251,Data!$B$2:$B$251,$A3,Data!$N$2:$N$251,"Current")</f>
        <v>31600</v>
      </c>
      <c r="D3" s="19" t="n">
        <f aca="false">SUMIFS(Data!$O$2:$O$251,Data!$B$2:$B$251,$A3,Data!$N$2:$N$251,"1-30")</f>
        <v>26250</v>
      </c>
      <c r="E3" s="19" t="n">
        <f aca="false">SUMIFS(Data!$O$2:$O$251,Data!$B$2:$B$251,$A3,Data!$N$2:$N$251,"31-60")</f>
        <v>0</v>
      </c>
      <c r="F3" s="19" t="n">
        <f aca="false">SUMIFS(Data!$O$2:$O$251,Data!$B$2:$B$251,$A3,Data!$N$2:$N$251,"61-90")</f>
        <v>22050</v>
      </c>
      <c r="G3" s="19" t="n">
        <f aca="false">SUMIFS(Data!$O$2:$O$251,Data!$B$2:$B$251,$A3,Data!$N$2:$N$251,"90+")</f>
        <v>0</v>
      </c>
      <c r="H3" s="19" t="n">
        <f aca="false">SUMIFS(Data!$O$2:$O$251,Data!$B$2:$B$251,$A3)</f>
        <v>79900</v>
      </c>
      <c r="I3" s="20" t="n">
        <f aca="false">IFERROR(SUMIFS(Data!$P$2:$P$251,Data!$B$2:$B$251,$A3)/H3,0)</f>
        <v>28.0043804755945</v>
      </c>
    </row>
    <row r="4" customFormat="false" ht="15" hidden="false" customHeight="false" outlineLevel="0" collapsed="false">
      <c r="A4" s="18" t="s">
        <v>43</v>
      </c>
      <c r="B4" s="18" t="n">
        <f aca="false">COUNTIFS(Data!$B$2:$B$251,$A4,Data!$H$2:$H$251,"Outstanding")</f>
        <v>2</v>
      </c>
      <c r="C4" s="19" t="n">
        <f aca="false">SUMIFS(Data!$O$2:$O$251,Data!$B$2:$B$251,$A4,Data!$N$2:$N$251,"Current")</f>
        <v>24700</v>
      </c>
      <c r="D4" s="19" t="n">
        <f aca="false">SUMIFS(Data!$O$2:$O$251,Data!$B$2:$B$251,$A4,Data!$N$2:$N$251,"1-30")</f>
        <v>29400</v>
      </c>
      <c r="E4" s="19" t="n">
        <f aca="false">SUMIFS(Data!$O$2:$O$251,Data!$B$2:$B$251,$A4,Data!$N$2:$N$251,"31-60")</f>
        <v>0</v>
      </c>
      <c r="F4" s="19" t="n">
        <f aca="false">SUMIFS(Data!$O$2:$O$251,Data!$B$2:$B$251,$A4,Data!$N$2:$N$251,"61-90")</f>
        <v>0</v>
      </c>
      <c r="G4" s="19" t="n">
        <f aca="false">SUMIFS(Data!$O$2:$O$251,Data!$B$2:$B$251,$A4,Data!$N$2:$N$251,"90+")</f>
        <v>0</v>
      </c>
      <c r="H4" s="19" t="n">
        <f aca="false">SUMIFS(Data!$O$2:$O$251,Data!$B$2:$B$251,$A4)</f>
        <v>54100</v>
      </c>
      <c r="I4" s="20" t="n">
        <f aca="false">IFERROR(SUMIFS(Data!$P$2:$P$251,Data!$B$2:$B$251,$A4)/H4,0)</f>
        <v>7.60813308687616</v>
      </c>
    </row>
    <row r="5" customFormat="false" ht="15" hidden="false" customHeight="false" outlineLevel="0" collapsed="false">
      <c r="A5" s="18" t="s">
        <v>17</v>
      </c>
      <c r="B5" s="18" t="n">
        <f aca="false">COUNTIFS(Data!$B$2:$B$251,$A5,Data!$H$2:$H$251,"Outstanding")</f>
        <v>4</v>
      </c>
      <c r="C5" s="19" t="n">
        <f aca="false">SUMIFS(Data!$O$2:$O$251,Data!$B$2:$B$251,$A5,Data!$N$2:$N$251,"Current")</f>
        <v>19000</v>
      </c>
      <c r="D5" s="19" t="n">
        <f aca="false">SUMIFS(Data!$O$2:$O$251,Data!$B$2:$B$251,$A5,Data!$N$2:$N$251,"1-30")</f>
        <v>3250</v>
      </c>
      <c r="E5" s="19" t="n">
        <f aca="false">SUMIFS(Data!$O$2:$O$251,Data!$B$2:$B$251,$A5,Data!$N$2:$N$251,"31-60")</f>
        <v>0</v>
      </c>
      <c r="F5" s="19" t="n">
        <f aca="false">SUMIFS(Data!$O$2:$O$251,Data!$B$2:$B$251,$A5,Data!$N$2:$N$251,"61-90")</f>
        <v>0</v>
      </c>
      <c r="G5" s="19" t="n">
        <f aca="false">SUMIFS(Data!$O$2:$O$251,Data!$B$2:$B$251,$A5,Data!$N$2:$N$251,"90+")</f>
        <v>5050</v>
      </c>
      <c r="H5" s="19" t="n">
        <f aca="false">SUMIFS(Data!$O$2:$O$251,Data!$B$2:$B$251,$A5)</f>
        <v>27300</v>
      </c>
      <c r="I5" s="20" t="n">
        <f aca="false">IFERROR(SUMIFS(Data!$P$2:$P$251,Data!$B$2:$B$251,$A5)/H5,0)</f>
        <v>19.6501831501832</v>
      </c>
    </row>
    <row r="6" customFormat="false" ht="15" hidden="false" customHeight="false" outlineLevel="0" collapsed="false">
      <c r="A6" s="18" t="s">
        <v>77</v>
      </c>
      <c r="B6" s="18" t="n">
        <f aca="false">COUNTIFS(Data!$B$2:$B$251,$A6,Data!$H$2:$H$251,"Outstanding")</f>
        <v>1</v>
      </c>
      <c r="C6" s="19" t="n">
        <f aca="false">SUMIFS(Data!$O$2:$O$251,Data!$B$2:$B$251,$A6,Data!$N$2:$N$251,"Current")</f>
        <v>23450</v>
      </c>
      <c r="D6" s="19" t="n">
        <f aca="false">SUMIFS(Data!$O$2:$O$251,Data!$B$2:$B$251,$A6,Data!$N$2:$N$251,"1-30")</f>
        <v>0</v>
      </c>
      <c r="E6" s="19" t="n">
        <f aca="false">SUMIFS(Data!$O$2:$O$251,Data!$B$2:$B$251,$A6,Data!$N$2:$N$251,"31-60")</f>
        <v>0</v>
      </c>
      <c r="F6" s="19" t="n">
        <f aca="false">SUMIFS(Data!$O$2:$O$251,Data!$B$2:$B$251,$A6,Data!$N$2:$N$251,"61-90")</f>
        <v>0</v>
      </c>
      <c r="G6" s="19" t="n">
        <f aca="false">SUMIFS(Data!$O$2:$O$251,Data!$B$2:$B$251,$A6,Data!$N$2:$N$251,"90+")</f>
        <v>0</v>
      </c>
      <c r="H6" s="19" t="n">
        <f aca="false">SUMIFS(Data!$O$2:$O$251,Data!$B$2:$B$251,$A6)</f>
        <v>23450</v>
      </c>
      <c r="I6" s="20" t="n">
        <f aca="false">IFERROR(SUMIFS(Data!$P$2:$P$251,Data!$B$2:$B$251,$A6)/H6,0)</f>
        <v>0</v>
      </c>
    </row>
    <row r="7" customFormat="false" ht="15" hidden="false" customHeight="false" outlineLevel="0" collapsed="false">
      <c r="A7" s="18" t="s">
        <v>55</v>
      </c>
      <c r="B7" s="18" t="n">
        <f aca="false">COUNTIFS(Data!$B$2:$B$251,$A7,Data!$H$2:$H$251,"Outstanding")</f>
        <v>2</v>
      </c>
      <c r="C7" s="19" t="n">
        <f aca="false">SUMIFS(Data!$O$2:$O$251,Data!$B$2:$B$251,$A7,Data!$N$2:$N$251,"Current")</f>
        <v>11950</v>
      </c>
      <c r="D7" s="19" t="n">
        <f aca="false">SUMIFS(Data!$O$2:$O$251,Data!$B$2:$B$251,$A7,Data!$N$2:$N$251,"1-30")</f>
        <v>10050</v>
      </c>
      <c r="E7" s="19" t="n">
        <f aca="false">SUMIFS(Data!$O$2:$O$251,Data!$B$2:$B$251,$A7,Data!$N$2:$N$251,"31-60")</f>
        <v>0</v>
      </c>
      <c r="F7" s="19" t="n">
        <f aca="false">SUMIFS(Data!$O$2:$O$251,Data!$B$2:$B$251,$A7,Data!$N$2:$N$251,"61-90")</f>
        <v>0</v>
      </c>
      <c r="G7" s="19" t="n">
        <f aca="false">SUMIFS(Data!$O$2:$O$251,Data!$B$2:$B$251,$A7,Data!$N$2:$N$251,"90+")</f>
        <v>0</v>
      </c>
      <c r="H7" s="19" t="n">
        <f aca="false">SUMIFS(Data!$O$2:$O$251,Data!$B$2:$B$251,$A7)</f>
        <v>22000</v>
      </c>
      <c r="I7" s="20" t="n">
        <f aca="false">IFERROR(SUMIFS(Data!$P$2:$P$251,Data!$B$2:$B$251,$A7)/H7,0)</f>
        <v>3.19772727272727</v>
      </c>
    </row>
    <row r="8" customFormat="false" ht="15" hidden="false" customHeight="false" outlineLevel="0" collapsed="false">
      <c r="A8" s="18" t="s">
        <v>21</v>
      </c>
      <c r="B8" s="18" t="n">
        <f aca="false">COUNTIFS(Data!$B$2:$B$251,$A8,Data!$H$2:$H$251,"Outstanding")</f>
        <v>1</v>
      </c>
      <c r="C8" s="19" t="n">
        <f aca="false">SUMIFS(Data!$O$2:$O$251,Data!$B$2:$B$251,$A8,Data!$N$2:$N$251,"Current")</f>
        <v>0</v>
      </c>
      <c r="D8" s="19" t="n">
        <f aca="false">SUMIFS(Data!$O$2:$O$251,Data!$B$2:$B$251,$A8,Data!$N$2:$N$251,"1-30")</f>
        <v>0</v>
      </c>
      <c r="E8" s="19" t="n">
        <f aca="false">SUMIFS(Data!$O$2:$O$251,Data!$B$2:$B$251,$A8,Data!$N$2:$N$251,"31-60")</f>
        <v>18550</v>
      </c>
      <c r="F8" s="19" t="n">
        <f aca="false">SUMIFS(Data!$O$2:$O$251,Data!$B$2:$B$251,$A8,Data!$N$2:$N$251,"61-90")</f>
        <v>0</v>
      </c>
      <c r="G8" s="19" t="n">
        <f aca="false">SUMIFS(Data!$O$2:$O$251,Data!$B$2:$B$251,$A8,Data!$N$2:$N$251,"90+")</f>
        <v>0</v>
      </c>
      <c r="H8" s="19" t="n">
        <f aca="false">SUMIFS(Data!$O$2:$O$251,Data!$B$2:$B$251,$A8)</f>
        <v>18550</v>
      </c>
      <c r="I8" s="20" t="n">
        <f aca="false">IFERROR(SUMIFS(Data!$P$2:$P$251,Data!$B$2:$B$251,$A8)/H8,0)</f>
        <v>35</v>
      </c>
    </row>
    <row r="9" customFormat="false" ht="15" hidden="false" customHeight="false" outlineLevel="0" collapsed="false">
      <c r="A9" s="18" t="s">
        <v>33</v>
      </c>
      <c r="B9" s="18" t="n">
        <f aca="false">COUNTIFS(Data!$B$2:$B$251,$A9,Data!$H$2:$H$251,"Outstanding")</f>
        <v>1</v>
      </c>
      <c r="C9" s="19" t="n">
        <f aca="false">SUMIFS(Data!$O$2:$O$251,Data!$B$2:$B$251,$A9,Data!$N$2:$N$251,"Current")</f>
        <v>14400</v>
      </c>
      <c r="D9" s="19" t="n">
        <f aca="false">SUMIFS(Data!$O$2:$O$251,Data!$B$2:$B$251,$A9,Data!$N$2:$N$251,"1-30")</f>
        <v>0</v>
      </c>
      <c r="E9" s="19" t="n">
        <f aca="false">SUMIFS(Data!$O$2:$O$251,Data!$B$2:$B$251,$A9,Data!$N$2:$N$251,"31-60")</f>
        <v>0</v>
      </c>
      <c r="F9" s="19" t="n">
        <f aca="false">SUMIFS(Data!$O$2:$O$251,Data!$B$2:$B$251,$A9,Data!$N$2:$N$251,"61-90")</f>
        <v>0</v>
      </c>
      <c r="G9" s="19" t="n">
        <f aca="false">SUMIFS(Data!$O$2:$O$251,Data!$B$2:$B$251,$A9,Data!$N$2:$N$251,"90+")</f>
        <v>0</v>
      </c>
      <c r="H9" s="19" t="n">
        <f aca="false">SUMIFS(Data!$O$2:$O$251,Data!$B$2:$B$251,$A9)</f>
        <v>14400</v>
      </c>
      <c r="I9" s="20" t="n">
        <f aca="false">IFERROR(SUMIFS(Data!$P$2:$P$251,Data!$B$2:$B$251,$A9)/H9,0)</f>
        <v>0</v>
      </c>
    </row>
    <row r="10" customFormat="false" ht="15" hidden="false" customHeight="false" outlineLevel="0" collapsed="false">
      <c r="A10" s="18" t="s">
        <v>52</v>
      </c>
      <c r="B10" s="18" t="n">
        <f aca="false">COUNTIFS(Data!$B$2:$B$251,$A10,Data!$H$2:$H$251,"Outstanding")</f>
        <v>2</v>
      </c>
      <c r="C10" s="19" t="n">
        <f aca="false">SUMIFS(Data!$O$2:$O$251,Data!$B$2:$B$251,$A10,Data!$N$2:$N$251,"Current")</f>
        <v>14300</v>
      </c>
      <c r="D10" s="19" t="n">
        <f aca="false">SUMIFS(Data!$O$2:$O$251,Data!$B$2:$B$251,$A10,Data!$N$2:$N$251,"1-30")</f>
        <v>0</v>
      </c>
      <c r="E10" s="19" t="n">
        <f aca="false">SUMIFS(Data!$O$2:$O$251,Data!$B$2:$B$251,$A10,Data!$N$2:$N$251,"31-60")</f>
        <v>0</v>
      </c>
      <c r="F10" s="19" t="n">
        <f aca="false">SUMIFS(Data!$O$2:$O$251,Data!$B$2:$B$251,$A10,Data!$N$2:$N$251,"61-90")</f>
        <v>0</v>
      </c>
      <c r="G10" s="19" t="n">
        <f aca="false">SUMIFS(Data!$O$2:$O$251,Data!$B$2:$B$251,$A10,Data!$N$2:$N$251,"90+")</f>
        <v>0</v>
      </c>
      <c r="H10" s="19" t="n">
        <f aca="false">SUMIFS(Data!$O$2:$O$251,Data!$B$2:$B$251,$A10)</f>
        <v>14300</v>
      </c>
      <c r="I10" s="20" t="n">
        <f aca="false">IFERROR(SUMIFS(Data!$P$2:$P$251,Data!$B$2:$B$251,$A10)/H10,0)</f>
        <v>0</v>
      </c>
    </row>
    <row r="11" customFormat="false" ht="15" hidden="false" customHeight="false" outlineLevel="0" collapsed="false">
      <c r="A11" s="18" t="s">
        <v>24</v>
      </c>
      <c r="B11" s="18" t="n">
        <f aca="false">COUNTIFS(Data!$B$2:$B$251,$A11,Data!$H$2:$H$251,"Outstanding")</f>
        <v>4</v>
      </c>
      <c r="C11" s="19" t="n">
        <f aca="false">SUMIFS(Data!$O$2:$O$251,Data!$B$2:$B$251,$A11,Data!$N$2:$N$251,"Current")</f>
        <v>7900</v>
      </c>
      <c r="D11" s="19" t="n">
        <f aca="false">SUMIFS(Data!$O$2:$O$251,Data!$B$2:$B$251,$A11,Data!$N$2:$N$251,"1-30")</f>
        <v>2600</v>
      </c>
      <c r="E11" s="19" t="n">
        <f aca="false">SUMIFS(Data!$O$2:$O$251,Data!$B$2:$B$251,$A11,Data!$N$2:$N$251,"31-60")</f>
        <v>0</v>
      </c>
      <c r="F11" s="19" t="n">
        <f aca="false">SUMIFS(Data!$O$2:$O$251,Data!$B$2:$B$251,$A11,Data!$N$2:$N$251,"61-90")</f>
        <v>0</v>
      </c>
      <c r="G11" s="19" t="n">
        <f aca="false">SUMIFS(Data!$O$2:$O$251,Data!$B$2:$B$251,$A11,Data!$N$2:$N$251,"90+")</f>
        <v>2300</v>
      </c>
      <c r="H11" s="19" t="n">
        <f aca="false">SUMIFS(Data!$O$2:$O$251,Data!$B$2:$B$251,$A11)</f>
        <v>12800</v>
      </c>
      <c r="I11" s="20" t="n">
        <f aca="false">IFERROR(SUMIFS(Data!$P$2:$P$251,Data!$B$2:$B$251,$A11)/H11,0)</f>
        <v>25.9296875</v>
      </c>
    </row>
    <row r="12" customFormat="false" ht="15" hidden="false" customHeight="false" outlineLevel="0" collapsed="false">
      <c r="A12" s="18" t="s">
        <v>30</v>
      </c>
      <c r="B12" s="18" t="n">
        <f aca="false">COUNTIFS(Data!$B$2:$B$251,$A12,Data!$H$2:$H$251,"Outstanding")</f>
        <v>1</v>
      </c>
      <c r="C12" s="19" t="n">
        <f aca="false">SUMIFS(Data!$O$2:$O$251,Data!$B$2:$B$251,$A12,Data!$N$2:$N$251,"Current")</f>
        <v>9050</v>
      </c>
      <c r="D12" s="19" t="n">
        <f aca="false">SUMIFS(Data!$O$2:$O$251,Data!$B$2:$B$251,$A12,Data!$N$2:$N$251,"1-30")</f>
        <v>0</v>
      </c>
      <c r="E12" s="19" t="n">
        <f aca="false">SUMIFS(Data!$O$2:$O$251,Data!$B$2:$B$251,$A12,Data!$N$2:$N$251,"31-60")</f>
        <v>0</v>
      </c>
      <c r="F12" s="19" t="n">
        <f aca="false">SUMIFS(Data!$O$2:$O$251,Data!$B$2:$B$251,$A12,Data!$N$2:$N$251,"61-90")</f>
        <v>0</v>
      </c>
      <c r="G12" s="19" t="n">
        <f aca="false">SUMIFS(Data!$O$2:$O$251,Data!$B$2:$B$251,$A12,Data!$N$2:$N$251,"90+")</f>
        <v>0</v>
      </c>
      <c r="H12" s="19" t="n">
        <f aca="false">SUMIFS(Data!$O$2:$O$251,Data!$B$2:$B$251,$A12)</f>
        <v>9050</v>
      </c>
      <c r="I12" s="20" t="n">
        <f aca="false">IFERROR(SUMIFS(Data!$P$2:$P$251,Data!$B$2:$B$251,$A12)/H12,0)</f>
        <v>0</v>
      </c>
    </row>
    <row r="13" customFormat="false" ht="15" hidden="false" customHeight="false" outlineLevel="0" collapsed="false">
      <c r="A13" s="18" t="s">
        <v>88</v>
      </c>
      <c r="B13" s="18" t="n">
        <f aca="false">COUNTIFS(Data!$B$2:$B$251,$A13,Data!$H$2:$H$251,"Outstanding")</f>
        <v>1</v>
      </c>
      <c r="C13" s="19" t="n">
        <f aca="false">SUMIFS(Data!$O$2:$O$251,Data!$B$2:$B$251,$A13,Data!$N$2:$N$251,"Current")</f>
        <v>6800</v>
      </c>
      <c r="D13" s="19" t="n">
        <f aca="false">SUMIFS(Data!$O$2:$O$251,Data!$B$2:$B$251,$A13,Data!$N$2:$N$251,"1-30")</f>
        <v>0</v>
      </c>
      <c r="E13" s="19" t="n">
        <f aca="false">SUMIFS(Data!$O$2:$O$251,Data!$B$2:$B$251,$A13,Data!$N$2:$N$251,"31-60")</f>
        <v>0</v>
      </c>
      <c r="F13" s="19" t="n">
        <f aca="false">SUMIFS(Data!$O$2:$O$251,Data!$B$2:$B$251,$A13,Data!$N$2:$N$251,"61-90")</f>
        <v>0</v>
      </c>
      <c r="G13" s="19" t="n">
        <f aca="false">SUMIFS(Data!$O$2:$O$251,Data!$B$2:$B$251,$A13,Data!$N$2:$N$251,"90+")</f>
        <v>0</v>
      </c>
      <c r="H13" s="19" t="n">
        <f aca="false">SUMIFS(Data!$O$2:$O$251,Data!$B$2:$B$251,$A13)</f>
        <v>6800</v>
      </c>
      <c r="I13" s="20" t="n">
        <f aca="false">IFERROR(SUMIFS(Data!$P$2:$P$251,Data!$B$2:$B$251,$A13)/H13,0)</f>
        <v>0</v>
      </c>
    </row>
    <row r="14" customFormat="false" ht="15" hidden="false" customHeight="false" outlineLevel="0" collapsed="false">
      <c r="A14" s="18" t="s">
        <v>37</v>
      </c>
      <c r="B14" s="18" t="n">
        <f aca="false">COUNTIFS(Data!$B$2:$B$251,$A14,Data!$H$2:$H$251,"Outstanding")</f>
        <v>1</v>
      </c>
      <c r="C14" s="19" t="n">
        <f aca="false">SUMIFS(Data!$O$2:$O$251,Data!$B$2:$B$251,$A14,Data!$N$2:$N$251,"Current")</f>
        <v>4000</v>
      </c>
      <c r="D14" s="19" t="n">
        <f aca="false">SUMIFS(Data!$O$2:$O$251,Data!$B$2:$B$251,$A14,Data!$N$2:$N$251,"1-30")</f>
        <v>0</v>
      </c>
      <c r="E14" s="19" t="n">
        <f aca="false">SUMIFS(Data!$O$2:$O$251,Data!$B$2:$B$251,$A14,Data!$N$2:$N$251,"31-60")</f>
        <v>0</v>
      </c>
      <c r="F14" s="19" t="n">
        <f aca="false">SUMIFS(Data!$O$2:$O$251,Data!$B$2:$B$251,$A14,Data!$N$2:$N$251,"61-90")</f>
        <v>0</v>
      </c>
      <c r="G14" s="19" t="n">
        <f aca="false">SUMIFS(Data!$O$2:$O$251,Data!$B$2:$B$251,$A14,Data!$N$2:$N$251,"90+")</f>
        <v>0</v>
      </c>
      <c r="H14" s="19" t="n">
        <f aca="false">SUMIFS(Data!$O$2:$O$251,Data!$B$2:$B$251,$A14)</f>
        <v>4000</v>
      </c>
      <c r="I14" s="20" t="n">
        <f aca="false">IFERROR(SUMIFS(Data!$P$2:$P$251,Data!$B$2:$B$251,$A14)/H14,0)</f>
        <v>0</v>
      </c>
    </row>
    <row r="15" customFormat="false" ht="15" hidden="false" customHeight="false" outlineLevel="0" collapsed="false">
      <c r="A15" s="18" t="s">
        <v>84</v>
      </c>
      <c r="B15" s="18" t="n">
        <f aca="false">COUNTIFS(Data!$B$2:$B$251,$A15,Data!$H$2:$H$251,"Outstanding")</f>
        <v>1</v>
      </c>
      <c r="C15" s="19" t="n">
        <f aca="false">SUMIFS(Data!$O$2:$O$251,Data!$B$2:$B$251,$A15,Data!$N$2:$N$251,"Current")</f>
        <v>2900</v>
      </c>
      <c r="D15" s="19" t="n">
        <f aca="false">SUMIFS(Data!$O$2:$O$251,Data!$B$2:$B$251,$A15,Data!$N$2:$N$251,"1-30")</f>
        <v>0</v>
      </c>
      <c r="E15" s="19" t="n">
        <f aca="false">SUMIFS(Data!$O$2:$O$251,Data!$B$2:$B$251,$A15,Data!$N$2:$N$251,"31-60")</f>
        <v>0</v>
      </c>
      <c r="F15" s="19" t="n">
        <f aca="false">SUMIFS(Data!$O$2:$O$251,Data!$B$2:$B$251,$A15,Data!$N$2:$N$251,"61-90")</f>
        <v>0</v>
      </c>
      <c r="G15" s="19" t="n">
        <f aca="false">SUMIFS(Data!$O$2:$O$251,Data!$B$2:$B$251,$A15,Data!$N$2:$N$251,"90+")</f>
        <v>0</v>
      </c>
      <c r="H15" s="19" t="n">
        <f aca="false">SUMIFS(Data!$O$2:$O$251,Data!$B$2:$B$251,$A15)</f>
        <v>2900</v>
      </c>
      <c r="I15" s="20" t="n">
        <f aca="false">IFERROR(SUMIFS(Data!$P$2:$P$251,Data!$B$2:$B$251,$A15)/H15,0)</f>
        <v>0</v>
      </c>
    </row>
    <row r="16" customFormat="false" ht="15" hidden="false" customHeight="false" outlineLevel="0" collapsed="false">
      <c r="A16" s="18" t="s">
        <v>47</v>
      </c>
      <c r="B16" s="18" t="n">
        <f aca="false">COUNTIFS(Data!$B$2:$B$251,$A16,Data!$H$2:$H$251,"Outstanding")</f>
        <v>1</v>
      </c>
      <c r="C16" s="19" t="n">
        <f aca="false">SUMIFS(Data!$O$2:$O$251,Data!$B$2:$B$251,$A16,Data!$N$2:$N$251,"Current")</f>
        <v>2800</v>
      </c>
      <c r="D16" s="19" t="n">
        <f aca="false">SUMIFS(Data!$O$2:$O$251,Data!$B$2:$B$251,$A16,Data!$N$2:$N$251,"1-30")</f>
        <v>0</v>
      </c>
      <c r="E16" s="19" t="n">
        <f aca="false">SUMIFS(Data!$O$2:$O$251,Data!$B$2:$B$251,$A16,Data!$N$2:$N$251,"31-60")</f>
        <v>0</v>
      </c>
      <c r="F16" s="19" t="n">
        <f aca="false">SUMIFS(Data!$O$2:$O$251,Data!$B$2:$B$251,$A16,Data!$N$2:$N$251,"61-90")</f>
        <v>0</v>
      </c>
      <c r="G16" s="19" t="n">
        <f aca="false">SUMIFS(Data!$O$2:$O$251,Data!$B$2:$B$251,$A16,Data!$N$2:$N$251,"90+")</f>
        <v>0</v>
      </c>
      <c r="H16" s="19" t="n">
        <f aca="false">SUMIFS(Data!$O$2:$O$251,Data!$B$2:$B$251,$A16)</f>
        <v>2800</v>
      </c>
      <c r="I16" s="20" t="n">
        <f aca="false">IFERROR(SUMIFS(Data!$P$2:$P$251,Data!$B$2:$B$251,$A16)/H16,0)</f>
        <v>0</v>
      </c>
    </row>
    <row r="17" customFormat="false" ht="15" hidden="false" customHeight="false" outlineLevel="0" collapsed="false">
      <c r="A17" s="18" t="s">
        <v>60</v>
      </c>
      <c r="B17" s="18" t="n">
        <f aca="false">COUNTIFS(Data!$B$2:$B$251,$A17,Data!$H$2:$H$251,"Outstanding")</f>
        <v>0</v>
      </c>
      <c r="C17" s="19" t="n">
        <f aca="false">SUMIFS(Data!$O$2:$O$251,Data!$B$2:$B$251,$A17,Data!$N$2:$N$251,"Current")</f>
        <v>0</v>
      </c>
      <c r="D17" s="19" t="n">
        <f aca="false">SUMIFS(Data!$O$2:$O$251,Data!$B$2:$B$251,$A17,Data!$N$2:$N$251,"1-30")</f>
        <v>0</v>
      </c>
      <c r="E17" s="19" t="n">
        <f aca="false">SUMIFS(Data!$O$2:$O$251,Data!$B$2:$B$251,$A17,Data!$N$2:$N$251,"31-60")</f>
        <v>0</v>
      </c>
      <c r="F17" s="19" t="n">
        <f aca="false">SUMIFS(Data!$O$2:$O$251,Data!$B$2:$B$251,$A17,Data!$N$2:$N$251,"61-90")</f>
        <v>0</v>
      </c>
      <c r="G17" s="19" t="n">
        <f aca="false">SUMIFS(Data!$O$2:$O$251,Data!$B$2:$B$251,$A17,Data!$N$2:$N$251,"90+")</f>
        <v>0</v>
      </c>
      <c r="H17" s="19" t="n">
        <f aca="false">SUMIFS(Data!$O$2:$O$251,Data!$B$2:$B$251,$A17)</f>
        <v>0</v>
      </c>
      <c r="I17" s="20" t="n">
        <f aca="false">IFERROR(SUMIFS(Data!$P$2:$P$251,Data!$B$2:$B$251,$A17)/H17,0)</f>
        <v>0</v>
      </c>
    </row>
    <row r="18" customFormat="false" ht="15" hidden="false" customHeight="false" outlineLevel="0" collapsed="false">
      <c r="A18" s="18" t="s">
        <v>63</v>
      </c>
      <c r="B18" s="18" t="n">
        <f aca="false">COUNTIFS(Data!$B$2:$B$251,$A18,Data!$H$2:$H$251,"Outstanding")</f>
        <v>0</v>
      </c>
      <c r="C18" s="19" t="n">
        <f aca="false">SUMIFS(Data!$O$2:$O$251,Data!$B$2:$B$251,$A18,Data!$N$2:$N$251,"Current")</f>
        <v>0</v>
      </c>
      <c r="D18" s="19" t="n">
        <f aca="false">SUMIFS(Data!$O$2:$O$251,Data!$B$2:$B$251,$A18,Data!$N$2:$N$251,"1-30")</f>
        <v>0</v>
      </c>
      <c r="E18" s="19" t="n">
        <f aca="false">SUMIFS(Data!$O$2:$O$251,Data!$B$2:$B$251,$A18,Data!$N$2:$N$251,"31-60")</f>
        <v>0</v>
      </c>
      <c r="F18" s="19" t="n">
        <f aca="false">SUMIFS(Data!$O$2:$O$251,Data!$B$2:$B$251,$A18,Data!$N$2:$N$251,"61-90")</f>
        <v>0</v>
      </c>
      <c r="G18" s="19" t="n">
        <f aca="false">SUMIFS(Data!$O$2:$O$251,Data!$B$2:$B$251,$A18,Data!$N$2:$N$251,"90+")</f>
        <v>0</v>
      </c>
      <c r="H18" s="19" t="n">
        <f aca="false">SUMIFS(Data!$O$2:$O$251,Data!$B$2:$B$251,$A18)</f>
        <v>0</v>
      </c>
      <c r="I18" s="20" t="n">
        <f aca="false">IFERROR(SUMIFS(Data!$P$2:$P$251,Data!$B$2:$B$251,$A18)/H18,0)</f>
        <v>0</v>
      </c>
    </row>
    <row r="19" customFormat="false" ht="15" hidden="false" customHeight="false" outlineLevel="0" collapsed="false">
      <c r="A19" s="18" t="s">
        <v>67</v>
      </c>
      <c r="B19" s="18" t="n">
        <f aca="false">COUNTIFS(Data!$B$2:$B$251,$A19,Data!$H$2:$H$251,"Outstanding")</f>
        <v>0</v>
      </c>
      <c r="C19" s="19" t="n">
        <f aca="false">SUMIFS(Data!$O$2:$O$251,Data!$B$2:$B$251,$A19,Data!$N$2:$N$251,"Current")</f>
        <v>0</v>
      </c>
      <c r="D19" s="19" t="n">
        <f aca="false">SUMIFS(Data!$O$2:$O$251,Data!$B$2:$B$251,$A19,Data!$N$2:$N$251,"1-30")</f>
        <v>0</v>
      </c>
      <c r="E19" s="19" t="n">
        <f aca="false">SUMIFS(Data!$O$2:$O$251,Data!$B$2:$B$251,$A19,Data!$N$2:$N$251,"31-60")</f>
        <v>0</v>
      </c>
      <c r="F19" s="19" t="n">
        <f aca="false">SUMIFS(Data!$O$2:$O$251,Data!$B$2:$B$251,$A19,Data!$N$2:$N$251,"61-90")</f>
        <v>0</v>
      </c>
      <c r="G19" s="19" t="n">
        <f aca="false">SUMIFS(Data!$O$2:$O$251,Data!$B$2:$B$251,$A19,Data!$N$2:$N$251,"90+")</f>
        <v>0</v>
      </c>
      <c r="H19" s="19" t="n">
        <f aca="false">SUMIFS(Data!$O$2:$O$251,Data!$B$2:$B$251,$A19)</f>
        <v>0</v>
      </c>
      <c r="I19" s="20" t="n">
        <f aca="false">IFERROR(SUMIFS(Data!$P$2:$P$251,Data!$B$2:$B$251,$A19)/H19,0)</f>
        <v>0</v>
      </c>
    </row>
    <row r="20" customFormat="false" ht="15" hidden="false" customHeight="false" outlineLevel="0" collapsed="false">
      <c r="A20" s="21" t="s">
        <v>330</v>
      </c>
      <c r="B20" s="21" t="n">
        <f aca="false">SUM(B2:B19)</f>
        <v>31</v>
      </c>
      <c r="C20" s="22" t="n">
        <f aca="false">SUM(C2:C19)</f>
        <v>172850</v>
      </c>
      <c r="D20" s="22" t="n">
        <f aca="false">SUM(D2:D19)</f>
        <v>109050</v>
      </c>
      <c r="E20" s="22" t="n">
        <f aca="false">SUM(E2:E19)</f>
        <v>37500</v>
      </c>
      <c r="F20" s="22" t="n">
        <f aca="false">SUM(F2:F19)</f>
        <v>22050</v>
      </c>
      <c r="G20" s="22" t="n">
        <f aca="false">SUM(G2:G19)</f>
        <v>66100</v>
      </c>
      <c r="H20" s="22" t="n">
        <f aca="false">SUM(H2:H19)</f>
        <v>407550</v>
      </c>
      <c r="I20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26"/>
    <col collapsed="false" customWidth="true" hidden="false" outlineLevel="0" max="8" min="8" style="0" width="52"/>
  </cols>
  <sheetData>
    <row r="1" customFormat="false" ht="15" hidden="false" customHeight="false" outlineLevel="0" collapsed="false">
      <c r="A1" s="17" t="s">
        <v>1</v>
      </c>
      <c r="B1" s="17" t="s">
        <v>331</v>
      </c>
      <c r="C1" s="17" t="s">
        <v>332</v>
      </c>
      <c r="D1" s="17" t="s">
        <v>333</v>
      </c>
      <c r="E1" s="17" t="s">
        <v>334</v>
      </c>
      <c r="F1" s="17" t="s">
        <v>335</v>
      </c>
      <c r="G1" s="17" t="s">
        <v>336</v>
      </c>
      <c r="H1" s="17" t="s">
        <v>337</v>
      </c>
    </row>
    <row r="2" customFormat="false" ht="15" hidden="false" customHeight="false" outlineLevel="0" collapsed="false">
      <c r="A2" s="18" t="s">
        <v>40</v>
      </c>
      <c r="B2" s="18" t="n">
        <f aca="false">COUNTIF(Data!$B$2:$B$251,$A2)</f>
        <v>15</v>
      </c>
      <c r="C2" s="19" t="n">
        <f aca="false">SUMIF(Data!$B$2:$B$251,$A2,Data!$G$2:$G$251)</f>
        <v>225200</v>
      </c>
      <c r="D2" s="20" t="n">
        <f aca="false">IFERROR(AVERAGEIFS(Data!$K$2:$K$251,Data!$B$2:$B$251,$A2,Data!$H$2:$H$251,"Paid*"),"n/a")</f>
        <v>69.2222222222222</v>
      </c>
      <c r="E2" s="18" t="n">
        <v>30</v>
      </c>
      <c r="F2" s="20" t="n">
        <f aca="false">IFERROR(AVERAGEIFS(Data!$L$2:$L$251,Data!$B$2:$B$251,$A2,Data!$H$2:$H$251,"Paid*"),"n/a")</f>
        <v>38.5555555555556</v>
      </c>
      <c r="G2" s="23" t="n">
        <v>4.1</v>
      </c>
      <c r="H2" s="24" t="s">
        <v>338</v>
      </c>
    </row>
    <row r="3" customFormat="false" ht="15" hidden="false" customHeight="false" outlineLevel="0" collapsed="false">
      <c r="A3" s="18" t="s">
        <v>27</v>
      </c>
      <c r="B3" s="18" t="n">
        <f aca="false">COUNTIF(Data!$B$2:$B$251,$A3)</f>
        <v>12</v>
      </c>
      <c r="C3" s="19" t="n">
        <f aca="false">SUMIF(Data!$B$2:$B$251,$A3,Data!$G$2:$G$251)</f>
        <v>299500</v>
      </c>
      <c r="D3" s="20" t="n">
        <f aca="false">IFERROR(AVERAGEIFS(Data!$K$2:$K$251,Data!$B$2:$B$251,$A3,Data!$H$2:$H$251,"Paid*"),"n/a")</f>
        <v>70.4444444444444</v>
      </c>
      <c r="E3" s="18" t="n">
        <v>45</v>
      </c>
      <c r="F3" s="20" t="n">
        <f aca="false">IFERROR(AVERAGEIFS(Data!$L$2:$L$251,Data!$B$2:$B$251,$A3,Data!$H$2:$H$251,"Paid*"),"n/a")</f>
        <v>25.4444444444444</v>
      </c>
      <c r="G3" s="23" t="n">
        <v>-1.9</v>
      </c>
      <c r="H3" s="24" t="s">
        <v>339</v>
      </c>
    </row>
    <row r="4" customFormat="false" ht="15" hidden="false" customHeight="false" outlineLevel="0" collapsed="false">
      <c r="A4" s="18" t="s">
        <v>43</v>
      </c>
      <c r="B4" s="18" t="n">
        <f aca="false">COUNTIF(Data!$B$2:$B$251,$A4)</f>
        <v>13</v>
      </c>
      <c r="C4" s="19" t="n">
        <f aca="false">SUMIF(Data!$B$2:$B$251,$A4,Data!$G$2:$G$251)</f>
        <v>291900</v>
      </c>
      <c r="D4" s="20" t="n">
        <f aca="false">IFERROR(AVERAGEIFS(Data!$K$2:$K$251,Data!$B$2:$B$251,$A4,Data!$H$2:$H$251,"Paid*"),"n/a")</f>
        <v>40.6363636363636</v>
      </c>
      <c r="E4" s="18" t="n">
        <v>30</v>
      </c>
      <c r="F4" s="20" t="n">
        <f aca="false">IFERROR(AVERAGEIFS(Data!$L$2:$L$251,Data!$B$2:$B$251,$A4,Data!$H$2:$H$251,"Paid*"),"n/a")</f>
        <v>9.72727272727273</v>
      </c>
      <c r="G4" s="23" t="n">
        <v>4.3</v>
      </c>
      <c r="H4" s="24" t="s">
        <v>340</v>
      </c>
    </row>
    <row r="5" customFormat="false" ht="15" hidden="false" customHeight="false" outlineLevel="0" collapsed="false">
      <c r="A5" s="18" t="s">
        <v>17</v>
      </c>
      <c r="B5" s="18" t="n">
        <f aca="false">COUNTIF(Data!$B$2:$B$251,$A5)</f>
        <v>14</v>
      </c>
      <c r="C5" s="19" t="n">
        <f aca="false">SUMIF(Data!$B$2:$B$251,$A5,Data!$G$2:$G$251)</f>
        <v>108600</v>
      </c>
      <c r="D5" s="20" t="n">
        <f aca="false">IFERROR(AVERAGEIFS(Data!$K$2:$K$251,Data!$B$2:$B$251,$A5,Data!$H$2:$H$251,"Paid*"),"n/a")</f>
        <v>89.7</v>
      </c>
      <c r="E5" s="18" t="n">
        <v>30</v>
      </c>
      <c r="F5" s="20" t="n">
        <f aca="false">IFERROR(AVERAGEIFS(Data!$L$2:$L$251,Data!$B$2:$B$251,$A5,Data!$H$2:$H$251,"Paid*"),"n/a")</f>
        <v>58.9</v>
      </c>
      <c r="G5" s="23" t="n">
        <v>4.6</v>
      </c>
      <c r="H5" s="24" t="s">
        <v>338</v>
      </c>
    </row>
    <row r="6" customFormat="false" ht="15" hidden="false" customHeight="false" outlineLevel="0" collapsed="false">
      <c r="A6" s="18" t="s">
        <v>77</v>
      </c>
      <c r="B6" s="18" t="n">
        <f aca="false">COUNTIF(Data!$B$2:$B$251,$A6)</f>
        <v>13</v>
      </c>
      <c r="C6" s="19" t="n">
        <f aca="false">SUMIF(Data!$B$2:$B$251,$A6,Data!$G$2:$G$251)</f>
        <v>308850</v>
      </c>
      <c r="D6" s="20" t="n">
        <f aca="false">IFERROR(AVERAGEIFS(Data!$K$2:$K$251,Data!$B$2:$B$251,$A6,Data!$H$2:$H$251,"Paid*"),"n/a")</f>
        <v>40</v>
      </c>
      <c r="E6" s="18" t="n">
        <v>30</v>
      </c>
      <c r="F6" s="20" t="n">
        <f aca="false">IFERROR(AVERAGEIFS(Data!$L$2:$L$251,Data!$B$2:$B$251,$A6,Data!$H$2:$H$251,"Paid*"),"n/a")</f>
        <v>9.41666666666667</v>
      </c>
      <c r="G6" s="23" t="n">
        <v>-3.8</v>
      </c>
      <c r="H6" s="24" t="s">
        <v>340</v>
      </c>
    </row>
    <row r="7" customFormat="false" ht="15" hidden="false" customHeight="false" outlineLevel="0" collapsed="false">
      <c r="A7" s="18" t="s">
        <v>55</v>
      </c>
      <c r="B7" s="18" t="n">
        <f aca="false">COUNTIF(Data!$B$2:$B$251,$A7)</f>
        <v>16</v>
      </c>
      <c r="C7" s="19" t="n">
        <f aca="false">SUMIF(Data!$B$2:$B$251,$A7,Data!$G$2:$G$251)</f>
        <v>147100</v>
      </c>
      <c r="D7" s="20" t="n">
        <f aca="false">IFERROR(AVERAGEIFS(Data!$K$2:$K$251,Data!$B$2:$B$251,$A7,Data!$H$2:$H$251,"Paid*"),"n/a")</f>
        <v>44.9285714285714</v>
      </c>
      <c r="E7" s="18" t="n">
        <v>30</v>
      </c>
      <c r="F7" s="20" t="n">
        <f aca="false">IFERROR(AVERAGEIFS(Data!$L$2:$L$251,Data!$B$2:$B$251,$A7,Data!$H$2:$H$251,"Paid*"),"n/a")</f>
        <v>14.7142857142857</v>
      </c>
      <c r="G7" s="23" t="n">
        <v>11.1</v>
      </c>
      <c r="H7" s="24" t="s">
        <v>341</v>
      </c>
    </row>
    <row r="8" customFormat="false" ht="15" hidden="false" customHeight="false" outlineLevel="0" collapsed="false">
      <c r="A8" s="18" t="s">
        <v>21</v>
      </c>
      <c r="B8" s="18" t="n">
        <f aca="false">COUNTIF(Data!$B$2:$B$251,$A8)</f>
        <v>17</v>
      </c>
      <c r="C8" s="19" t="n">
        <f aca="false">SUMIF(Data!$B$2:$B$251,$A8,Data!$G$2:$G$251)</f>
        <v>201900</v>
      </c>
      <c r="D8" s="20" t="n">
        <f aca="false">IFERROR(AVERAGEIFS(Data!$K$2:$K$251,Data!$B$2:$B$251,$A8,Data!$H$2:$H$251,"Paid*"),"n/a")</f>
        <v>65.6875</v>
      </c>
      <c r="E8" s="18" t="n">
        <v>30</v>
      </c>
      <c r="F8" s="20" t="n">
        <f aca="false">IFERROR(AVERAGEIFS(Data!$L$2:$L$251,Data!$B$2:$B$251,$A8,Data!$H$2:$H$251,"Paid*"),"n/a")</f>
        <v>35.4375</v>
      </c>
      <c r="G8" s="23" t="n">
        <v>8.1</v>
      </c>
      <c r="H8" s="24" t="s">
        <v>342</v>
      </c>
    </row>
    <row r="9" customFormat="false" ht="15" hidden="false" customHeight="false" outlineLevel="0" collapsed="false">
      <c r="A9" s="18" t="s">
        <v>33</v>
      </c>
      <c r="B9" s="18" t="n">
        <f aca="false">COUNTIF(Data!$B$2:$B$251,$A9)</f>
        <v>8</v>
      </c>
      <c r="C9" s="19" t="n">
        <f aca="false">SUMIF(Data!$B$2:$B$251,$A9,Data!$G$2:$G$251)</f>
        <v>104300</v>
      </c>
      <c r="D9" s="20" t="n">
        <f aca="false">IFERROR(AVERAGEIFS(Data!$K$2:$K$251,Data!$B$2:$B$251,$A9,Data!$H$2:$H$251,"Paid*"),"n/a")</f>
        <v>18.7142857142857</v>
      </c>
      <c r="E9" s="18" t="n">
        <v>15</v>
      </c>
      <c r="F9" s="20" t="n">
        <f aca="false">IFERROR(AVERAGEIFS(Data!$L$2:$L$251,Data!$B$2:$B$251,$A9,Data!$H$2:$H$251,"Paid*"),"n/a")</f>
        <v>3.28571428571429</v>
      </c>
      <c r="G9" s="23" t="n">
        <v>0.5</v>
      </c>
      <c r="H9" s="24" t="s">
        <v>343</v>
      </c>
    </row>
    <row r="10" customFormat="false" ht="15" hidden="false" customHeight="false" outlineLevel="0" collapsed="false">
      <c r="A10" s="18" t="s">
        <v>52</v>
      </c>
      <c r="B10" s="18" t="n">
        <f aca="false">COUNTIF(Data!$B$2:$B$251,$A10)</f>
        <v>20</v>
      </c>
      <c r="C10" s="19" t="n">
        <f aca="false">SUMIF(Data!$B$2:$B$251,$A10,Data!$G$2:$G$251)</f>
        <v>138950</v>
      </c>
      <c r="D10" s="20" t="n">
        <f aca="false">IFERROR(AVERAGEIFS(Data!$K$2:$K$251,Data!$B$2:$B$251,$A10,Data!$H$2:$H$251,"Paid*"),"n/a")</f>
        <v>55.7777777777778</v>
      </c>
      <c r="E10" s="18" t="n">
        <v>30</v>
      </c>
      <c r="F10" s="20" t="n">
        <f aca="false">IFERROR(AVERAGEIFS(Data!$L$2:$L$251,Data!$B$2:$B$251,$A10,Data!$H$2:$H$251,"Paid*"),"n/a")</f>
        <v>25.2777777777778</v>
      </c>
      <c r="G10" s="23" t="n">
        <v>-6.8</v>
      </c>
      <c r="H10" s="24" t="s">
        <v>339</v>
      </c>
    </row>
    <row r="11" customFormat="false" ht="15" hidden="false" customHeight="false" outlineLevel="0" collapsed="false">
      <c r="A11" s="18" t="s">
        <v>24</v>
      </c>
      <c r="B11" s="18" t="n">
        <f aca="false">COUNTIF(Data!$B$2:$B$251,$A11)</f>
        <v>20</v>
      </c>
      <c r="C11" s="19" t="n">
        <f aca="false">SUMIF(Data!$B$2:$B$251,$A11,Data!$G$2:$G$251)</f>
        <v>82650</v>
      </c>
      <c r="D11" s="20" t="n">
        <f aca="false">IFERROR(AVERAGEIFS(Data!$K$2:$K$251,Data!$B$2:$B$251,$A11,Data!$H$2:$H$251,"Paid*"),"n/a")</f>
        <v>74</v>
      </c>
      <c r="E11" s="18" t="n">
        <v>30</v>
      </c>
      <c r="F11" s="20" t="n">
        <f aca="false">IFERROR(AVERAGEIFS(Data!$L$2:$L$251,Data!$B$2:$B$251,$A11,Data!$H$2:$H$251,"Paid*"),"n/a")</f>
        <v>43.625</v>
      </c>
      <c r="G11" s="23" t="n">
        <v>-6.2</v>
      </c>
      <c r="H11" s="24" t="s">
        <v>338</v>
      </c>
    </row>
    <row r="12" customFormat="false" ht="15" hidden="false" customHeight="false" outlineLevel="0" collapsed="false">
      <c r="A12" s="18" t="s">
        <v>30</v>
      </c>
      <c r="B12" s="18" t="n">
        <f aca="false">COUNTIF(Data!$B$2:$B$251,$A12)</f>
        <v>20</v>
      </c>
      <c r="C12" s="19" t="n">
        <f aca="false">SUMIF(Data!$B$2:$B$251,$A12,Data!$G$2:$G$251)</f>
        <v>240850</v>
      </c>
      <c r="D12" s="20" t="n">
        <f aca="false">IFERROR(AVERAGEIFS(Data!$K$2:$K$251,Data!$B$2:$B$251,$A12,Data!$H$2:$H$251,"Paid*"),"n/a")</f>
        <v>45.3157894736842</v>
      </c>
      <c r="E12" s="18" t="n">
        <v>30</v>
      </c>
      <c r="F12" s="20" t="n">
        <f aca="false">IFERROR(AVERAGEIFS(Data!$L$2:$L$251,Data!$B$2:$B$251,$A12,Data!$H$2:$H$251,"Paid*"),"n/a")</f>
        <v>14.6842105263158</v>
      </c>
      <c r="G12" s="23" t="n">
        <v>3</v>
      </c>
      <c r="H12" s="24" t="s">
        <v>340</v>
      </c>
    </row>
    <row r="13" customFormat="false" ht="15" hidden="false" customHeight="false" outlineLevel="0" collapsed="false">
      <c r="A13" s="18" t="s">
        <v>88</v>
      </c>
      <c r="B13" s="18" t="n">
        <f aca="false">COUNTIF(Data!$B$2:$B$251,$A13)</f>
        <v>17</v>
      </c>
      <c r="C13" s="19" t="n">
        <f aca="false">SUMIF(Data!$B$2:$B$251,$A13,Data!$G$2:$G$251)</f>
        <v>85300</v>
      </c>
      <c r="D13" s="20" t="n">
        <f aca="false">IFERROR(AVERAGEIFS(Data!$K$2:$K$251,Data!$B$2:$B$251,$A13,Data!$H$2:$H$251,"Paid*"),"n/a")</f>
        <v>35</v>
      </c>
      <c r="E13" s="18" t="n">
        <v>30</v>
      </c>
      <c r="F13" s="20" t="n">
        <f aca="false">IFERROR(AVERAGEIFS(Data!$L$2:$L$251,Data!$B$2:$B$251,$A13,Data!$H$2:$H$251,"Paid*"),"n/a")</f>
        <v>4.5625</v>
      </c>
      <c r="G13" s="23" t="n">
        <v>-2.9</v>
      </c>
      <c r="H13" s="24" t="s">
        <v>343</v>
      </c>
    </row>
    <row r="14" customFormat="false" ht="15" hidden="false" customHeight="false" outlineLevel="0" collapsed="false">
      <c r="A14" s="18" t="s">
        <v>37</v>
      </c>
      <c r="B14" s="18" t="n">
        <f aca="false">COUNTIF(Data!$B$2:$B$251,$A14)</f>
        <v>9</v>
      </c>
      <c r="C14" s="19" t="n">
        <f aca="false">SUMIF(Data!$B$2:$B$251,$A14,Data!$G$2:$G$251)</f>
        <v>59650</v>
      </c>
      <c r="D14" s="20" t="n">
        <f aca="false">IFERROR(AVERAGEIFS(Data!$K$2:$K$251,Data!$B$2:$B$251,$A14,Data!$H$2:$H$251,"Paid*"),"n/a")</f>
        <v>50.25</v>
      </c>
      <c r="E14" s="18" t="n">
        <v>30</v>
      </c>
      <c r="F14" s="20" t="n">
        <f aca="false">IFERROR(AVERAGEIFS(Data!$L$2:$L$251,Data!$B$2:$B$251,$A14,Data!$H$2:$H$251,"Paid*"),"n/a")</f>
        <v>19.875</v>
      </c>
      <c r="G14" s="23" t="n">
        <v>-1.8</v>
      </c>
      <c r="H14" s="24" t="s">
        <v>339</v>
      </c>
    </row>
    <row r="15" customFormat="false" ht="15" hidden="false" customHeight="false" outlineLevel="0" collapsed="false">
      <c r="A15" s="18" t="s">
        <v>84</v>
      </c>
      <c r="B15" s="18" t="n">
        <f aca="false">COUNTIF(Data!$B$2:$B$251,$A15)</f>
        <v>12</v>
      </c>
      <c r="C15" s="19" t="n">
        <f aca="false">SUMIF(Data!$B$2:$B$251,$A15,Data!$G$2:$G$251)</f>
        <v>99450</v>
      </c>
      <c r="D15" s="20" t="n">
        <f aca="false">IFERROR(AVERAGEIFS(Data!$K$2:$K$251,Data!$B$2:$B$251,$A15,Data!$H$2:$H$251,"Paid*"),"n/a")</f>
        <v>48.1818181818182</v>
      </c>
      <c r="E15" s="18" t="n">
        <v>30</v>
      </c>
      <c r="F15" s="20" t="n">
        <f aca="false">IFERROR(AVERAGEIFS(Data!$L$2:$L$251,Data!$B$2:$B$251,$A15,Data!$H$2:$H$251,"Paid*"),"n/a")</f>
        <v>17.1818181818182</v>
      </c>
      <c r="G15" s="23" t="n">
        <v>-7</v>
      </c>
      <c r="H15" s="24" t="s">
        <v>340</v>
      </c>
    </row>
    <row r="16" customFormat="false" ht="15" hidden="false" customHeight="false" outlineLevel="0" collapsed="false">
      <c r="A16" s="18" t="s">
        <v>47</v>
      </c>
      <c r="B16" s="18" t="n">
        <f aca="false">COUNTIF(Data!$B$2:$B$251,$A16)</f>
        <v>17</v>
      </c>
      <c r="C16" s="19" t="n">
        <f aca="false">SUMIF(Data!$B$2:$B$251,$A16,Data!$G$2:$G$251)</f>
        <v>44250</v>
      </c>
      <c r="D16" s="20" t="n">
        <f aca="false">IFERROR(AVERAGEIFS(Data!$K$2:$K$251,Data!$B$2:$B$251,$A16,Data!$H$2:$H$251,"Paid*"),"n/a")</f>
        <v>16.9375</v>
      </c>
      <c r="E16" s="18" t="n">
        <v>15</v>
      </c>
      <c r="F16" s="20" t="n">
        <f aca="false">IFERROR(AVERAGEIFS(Data!$L$2:$L$251,Data!$B$2:$B$251,$A16,Data!$H$2:$H$251,"Paid*"),"n/a")</f>
        <v>1.8125</v>
      </c>
      <c r="G16" s="23" t="n">
        <v>0.1</v>
      </c>
      <c r="H16" s="24" t="s">
        <v>343</v>
      </c>
    </row>
    <row r="17" customFormat="false" ht="15" hidden="false" customHeight="false" outlineLevel="0" collapsed="false">
      <c r="A17" s="18" t="s">
        <v>60</v>
      </c>
      <c r="B17" s="18" t="n">
        <f aca="false">COUNTIF(Data!$B$2:$B$251,$A17)</f>
        <v>8</v>
      </c>
      <c r="C17" s="19" t="n">
        <f aca="false">SUMIF(Data!$B$2:$B$251,$A17,Data!$G$2:$G$251)</f>
        <v>24450</v>
      </c>
      <c r="D17" s="20" t="n">
        <f aca="false">IFERROR(AVERAGEIFS(Data!$K$2:$K$251,Data!$B$2:$B$251,$A17,Data!$H$2:$H$251,"Paid*"),"n/a")</f>
        <v>17.625</v>
      </c>
      <c r="E17" s="18" t="n">
        <v>15</v>
      </c>
      <c r="F17" s="20" t="n">
        <f aca="false">IFERROR(AVERAGEIFS(Data!$L$2:$L$251,Data!$B$2:$B$251,$A17,Data!$H$2:$H$251,"Paid*"),"n/a")</f>
        <v>1.625</v>
      </c>
      <c r="G17" s="23" t="n">
        <v>-0.8</v>
      </c>
      <c r="H17" s="24" t="s">
        <v>343</v>
      </c>
    </row>
    <row r="18" customFormat="false" ht="15" hidden="false" customHeight="false" outlineLevel="0" collapsed="false">
      <c r="A18" s="18" t="s">
        <v>63</v>
      </c>
      <c r="B18" s="18" t="n">
        <f aca="false">COUNTIF(Data!$B$2:$B$251,$A18)</f>
        <v>12</v>
      </c>
      <c r="C18" s="19" t="n">
        <f aca="false">SUMIF(Data!$B$2:$B$251,$A18,Data!$G$2:$G$251)</f>
        <v>62200</v>
      </c>
      <c r="D18" s="20" t="n">
        <f aca="false">IFERROR(AVERAGEIFS(Data!$K$2:$K$251,Data!$B$2:$B$251,$A18,Data!$H$2:$H$251,"Paid*"),"n/a")</f>
        <v>17</v>
      </c>
      <c r="E18" s="18" t="n">
        <v>15</v>
      </c>
      <c r="F18" s="20" t="n">
        <f aca="false">IFERROR(AVERAGEIFS(Data!$L$2:$L$251,Data!$B$2:$B$251,$A18,Data!$H$2:$H$251,"Paid*"),"n/a")</f>
        <v>1.75</v>
      </c>
      <c r="G18" s="23" t="n">
        <v>1.8</v>
      </c>
      <c r="H18" s="24" t="s">
        <v>343</v>
      </c>
    </row>
    <row r="19" customFormat="false" ht="15" hidden="false" customHeight="false" outlineLevel="0" collapsed="false">
      <c r="A19" s="18" t="s">
        <v>67</v>
      </c>
      <c r="B19" s="18" t="n">
        <f aca="false">COUNTIF(Data!$B$2:$B$251,$A19)</f>
        <v>7</v>
      </c>
      <c r="C19" s="19" t="n">
        <f aca="false">SUMIF(Data!$B$2:$B$251,$A19,Data!$G$2:$G$251)</f>
        <v>50550</v>
      </c>
      <c r="D19" s="20" t="n">
        <f aca="false">IFERROR(AVERAGEIFS(Data!$K$2:$K$251,Data!$B$2:$B$251,$A19,Data!$H$2:$H$251,"Paid*"),"n/a")</f>
        <v>40.8571428571429</v>
      </c>
      <c r="E19" s="18" t="n">
        <v>30</v>
      </c>
      <c r="F19" s="20" t="n">
        <f aca="false">IFERROR(AVERAGEIFS(Data!$L$2:$L$251,Data!$B$2:$B$251,$A19,Data!$H$2:$H$251,"Paid*"),"n/a")</f>
        <v>10.2857142857143</v>
      </c>
      <c r="G19" s="23" t="n">
        <v>-0.7</v>
      </c>
      <c r="H19" s="24" t="s">
        <v>340</v>
      </c>
    </row>
    <row r="21" customFormat="false" ht="15" hidden="false" customHeight="false" outlineLevel="0" collapsed="false">
      <c r="A21" s="9" t="s">
        <v>344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17"/>
    <col collapsed="false" customWidth="true" hidden="false" outlineLevel="0" max="6" min="5" style="0" width="13"/>
    <col collapsed="false" customWidth="true" hidden="false" outlineLevel="0" max="7" min="7" style="0" width="62"/>
  </cols>
  <sheetData>
    <row r="1" customFormat="false" ht="15" hidden="false" customHeight="false" outlineLevel="0" collapsed="false">
      <c r="A1" s="25" t="s">
        <v>345</v>
      </c>
    </row>
    <row r="2" customFormat="false" ht="15" hidden="false" customHeight="false" outlineLevel="0" collapsed="false">
      <c r="A2" s="7" t="s">
        <v>346</v>
      </c>
    </row>
    <row r="4" customFormat="false" ht="15" hidden="false" customHeight="false" outlineLevel="0" collapsed="false">
      <c r="A4" s="17" t="s">
        <v>347</v>
      </c>
      <c r="B4" s="17" t="s">
        <v>1</v>
      </c>
      <c r="C4" s="17" t="s">
        <v>348</v>
      </c>
      <c r="D4" s="17" t="s">
        <v>349</v>
      </c>
      <c r="E4" s="17" t="s">
        <v>350</v>
      </c>
      <c r="F4" s="17" t="s">
        <v>351</v>
      </c>
      <c r="G4" s="17" t="s">
        <v>352</v>
      </c>
    </row>
    <row r="5" customFormat="false" ht="15" hidden="false" customHeight="false" outlineLevel="0" collapsed="false">
      <c r="A5" s="18" t="n">
        <v>1</v>
      </c>
      <c r="B5" s="18" t="s">
        <v>40</v>
      </c>
      <c r="C5" s="19" t="n">
        <f aca="false">AgingByCustomer!H2</f>
        <v>115200</v>
      </c>
      <c r="D5" s="20" t="n">
        <f aca="false">AgingByCustomer!I2</f>
        <v>61.8776041666667</v>
      </c>
      <c r="E5" s="26" t="n">
        <f aca="false">C5*MAX(1,D5)</f>
        <v>7128300</v>
      </c>
      <c r="F5" s="20" t="n">
        <f aca="false">IFERROR(AVERAGEIFS(Data!$L$2:$L$251,Data!$B$2:$B$251,$B5,Data!$H$2:$H$251,"Paid*"),"n/a")</f>
        <v>38.5555555555556</v>
      </c>
      <c r="G5" s="24" t="s">
        <v>353</v>
      </c>
    </row>
    <row r="6" customFormat="false" ht="15" hidden="false" customHeight="false" outlineLevel="0" collapsed="false">
      <c r="A6" s="18" t="n">
        <v>2</v>
      </c>
      <c r="B6" s="18" t="s">
        <v>27</v>
      </c>
      <c r="C6" s="19" t="n">
        <f aca="false">AgingByCustomer!H3</f>
        <v>79900</v>
      </c>
      <c r="D6" s="20" t="n">
        <f aca="false">AgingByCustomer!I3</f>
        <v>28.0043804755945</v>
      </c>
      <c r="E6" s="26" t="n">
        <f aca="false">C6*MAX(1,D6)</f>
        <v>2237550</v>
      </c>
      <c r="F6" s="20" t="n">
        <f aca="false">IFERROR(AVERAGEIFS(Data!$L$2:$L$251,Data!$B$2:$B$251,$B6,Data!$H$2:$H$251,"Paid*"),"n/a")</f>
        <v>25.4444444444444</v>
      </c>
      <c r="G6" s="24" t="s">
        <v>354</v>
      </c>
    </row>
    <row r="7" customFormat="false" ht="15" hidden="false" customHeight="false" outlineLevel="0" collapsed="false">
      <c r="A7" s="18" t="n">
        <v>3</v>
      </c>
      <c r="B7" s="18" t="s">
        <v>21</v>
      </c>
      <c r="C7" s="19" t="n">
        <f aca="false">AgingByCustomer!H8</f>
        <v>18550</v>
      </c>
      <c r="D7" s="20" t="n">
        <f aca="false">AgingByCustomer!I8</f>
        <v>35</v>
      </c>
      <c r="E7" s="26" t="n">
        <f aca="false">C7*MAX(1,D7)</f>
        <v>649250</v>
      </c>
      <c r="F7" s="20" t="n">
        <f aca="false">IFERROR(AVERAGEIFS(Data!$L$2:$L$251,Data!$B$2:$B$251,$B7,Data!$H$2:$H$251,"Paid*"),"n/a")</f>
        <v>35.4375</v>
      </c>
      <c r="G7" s="24" t="s">
        <v>355</v>
      </c>
    </row>
    <row r="8" customFormat="false" ht="15" hidden="false" customHeight="false" outlineLevel="0" collapsed="false">
      <c r="A8" s="18" t="n">
        <v>4</v>
      </c>
      <c r="B8" s="18" t="s">
        <v>17</v>
      </c>
      <c r="C8" s="19" t="n">
        <f aca="false">AgingByCustomer!H5</f>
        <v>27300</v>
      </c>
      <c r="D8" s="20" t="n">
        <f aca="false">AgingByCustomer!I5</f>
        <v>19.6501831501832</v>
      </c>
      <c r="E8" s="26" t="n">
        <f aca="false">C8*MAX(1,D8)</f>
        <v>536450</v>
      </c>
      <c r="F8" s="20" t="n">
        <f aca="false">IFERROR(AVERAGEIFS(Data!$L$2:$L$251,Data!$B$2:$B$251,$B8,Data!$H$2:$H$251,"Paid*"),"n/a")</f>
        <v>58.9</v>
      </c>
      <c r="G8" s="24" t="s">
        <v>356</v>
      </c>
    </row>
    <row r="9" customFormat="false" ht="15" hidden="false" customHeight="false" outlineLevel="0" collapsed="false">
      <c r="A9" s="18" t="n">
        <v>5</v>
      </c>
      <c r="B9" s="18" t="s">
        <v>43</v>
      </c>
      <c r="C9" s="19" t="n">
        <f aca="false">AgingByCustomer!H4</f>
        <v>54100</v>
      </c>
      <c r="D9" s="20" t="n">
        <f aca="false">AgingByCustomer!I4</f>
        <v>7.60813308687616</v>
      </c>
      <c r="E9" s="26" t="n">
        <f aca="false">C9*MAX(1,D9)</f>
        <v>411600</v>
      </c>
      <c r="F9" s="20" t="n">
        <f aca="false">IFERROR(AVERAGEIFS(Data!$L$2:$L$251,Data!$B$2:$B$251,$B9,Data!$H$2:$H$251,"Paid*"),"n/a")</f>
        <v>9.72727272727273</v>
      </c>
      <c r="G9" s="24" t="s">
        <v>357</v>
      </c>
    </row>
    <row r="10" customFormat="false" ht="15" hidden="false" customHeight="false" outlineLevel="0" collapsed="false">
      <c r="A10" s="18" t="n">
        <v>6</v>
      </c>
      <c r="B10" s="18" t="s">
        <v>24</v>
      </c>
      <c r="C10" s="19" t="n">
        <f aca="false">AgingByCustomer!H11</f>
        <v>12800</v>
      </c>
      <c r="D10" s="20" t="n">
        <f aca="false">AgingByCustomer!I11</f>
        <v>25.9296875</v>
      </c>
      <c r="E10" s="26" t="n">
        <f aca="false">C10*MAX(1,D10)</f>
        <v>331900</v>
      </c>
      <c r="F10" s="20" t="n">
        <f aca="false">IFERROR(AVERAGEIFS(Data!$L$2:$L$251,Data!$B$2:$B$251,$B10,Data!$H$2:$H$251,"Paid*"),"n/a")</f>
        <v>43.625</v>
      </c>
      <c r="G10" s="24" t="s">
        <v>358</v>
      </c>
    </row>
    <row r="11" customFormat="false" ht="15" hidden="false" customHeight="false" outlineLevel="0" collapsed="false">
      <c r="A11" s="18" t="n">
        <v>7</v>
      </c>
      <c r="B11" s="18" t="s">
        <v>55</v>
      </c>
      <c r="C11" s="19" t="n">
        <f aca="false">AgingByCustomer!H7</f>
        <v>22000</v>
      </c>
      <c r="D11" s="20" t="n">
        <f aca="false">AgingByCustomer!I7</f>
        <v>3.19772727272727</v>
      </c>
      <c r="E11" s="26" t="n">
        <f aca="false">C11*MAX(1,D11)</f>
        <v>70350</v>
      </c>
      <c r="F11" s="20" t="n">
        <f aca="false">IFERROR(AVERAGEIFS(Data!$L$2:$L$251,Data!$B$2:$B$251,$B11,Data!$H$2:$H$251,"Paid*"),"n/a")</f>
        <v>14.7142857142857</v>
      </c>
      <c r="G11" s="24" t="s">
        <v>359</v>
      </c>
    </row>
    <row r="12" customFormat="false" ht="15" hidden="false" customHeight="false" outlineLevel="0" collapsed="false">
      <c r="A12" s="18" t="n">
        <v>8</v>
      </c>
      <c r="B12" s="18" t="s">
        <v>77</v>
      </c>
      <c r="C12" s="19" t="n">
        <f aca="false">AgingByCustomer!H6</f>
        <v>23450</v>
      </c>
      <c r="D12" s="20" t="n">
        <f aca="false">AgingByCustomer!I6</f>
        <v>0</v>
      </c>
      <c r="E12" s="26" t="n">
        <f aca="false">C12*MAX(1,D12)</f>
        <v>23450</v>
      </c>
      <c r="F12" s="20" t="n">
        <f aca="false">IFERROR(AVERAGEIFS(Data!$L$2:$L$251,Data!$B$2:$B$251,$B12,Data!$H$2:$H$251,"Paid*"),"n/a")</f>
        <v>9.41666666666667</v>
      </c>
      <c r="G12" s="24" t="s">
        <v>360</v>
      </c>
    </row>
    <row r="13" customFormat="false" ht="15" hidden="false" customHeight="false" outlineLevel="0" collapsed="false">
      <c r="A13" s="18" t="n">
        <v>9</v>
      </c>
      <c r="B13" s="18" t="s">
        <v>33</v>
      </c>
      <c r="C13" s="19" t="n">
        <f aca="false">AgingByCustomer!H9</f>
        <v>14400</v>
      </c>
      <c r="D13" s="20" t="n">
        <f aca="false">AgingByCustomer!I9</f>
        <v>0</v>
      </c>
      <c r="E13" s="26" t="n">
        <f aca="false">C13*MAX(1,D13)</f>
        <v>14400</v>
      </c>
      <c r="F13" s="20" t="n">
        <f aca="false">IFERROR(AVERAGEIFS(Data!$L$2:$L$251,Data!$B$2:$B$251,$B13,Data!$H$2:$H$251,"Paid*"),"n/a")</f>
        <v>3.28571428571429</v>
      </c>
      <c r="G13" s="24" t="s">
        <v>361</v>
      </c>
    </row>
    <row r="14" customFormat="false" ht="15" hidden="false" customHeight="false" outlineLevel="0" collapsed="false">
      <c r="A14" s="18" t="n">
        <v>10</v>
      </c>
      <c r="B14" s="18" t="s">
        <v>52</v>
      </c>
      <c r="C14" s="19" t="n">
        <f aca="false">AgingByCustomer!H10</f>
        <v>14300</v>
      </c>
      <c r="D14" s="20" t="n">
        <f aca="false">AgingByCustomer!I10</f>
        <v>0</v>
      </c>
      <c r="E14" s="26" t="n">
        <f aca="false">C14*MAX(1,D14)</f>
        <v>14300</v>
      </c>
      <c r="F14" s="20" t="n">
        <f aca="false">IFERROR(AVERAGEIFS(Data!$L$2:$L$251,Data!$B$2:$B$251,$B14,Data!$H$2:$H$251,"Paid*"),"n/a")</f>
        <v>25.2777777777778</v>
      </c>
      <c r="G14" s="24" t="s">
        <v>362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2026-07-22T10:06:38Z</dcterms:created>
  <dc:creator>openpyxl</dc:creator>
  <dc:description/>
  <dc:language>en-US</dc:language>
  <cp:lastModifiedBy/>
  <dcterms:modified xsi:type="dcterms:W3CDTF">2026-07-22T10:06:38Z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